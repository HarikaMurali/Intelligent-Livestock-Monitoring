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Cattle_Master" sheetId="1" state="visible" r:id="rId1"/>
    <sheet xmlns:r="http://schemas.openxmlformats.org/officeDocument/2006/relationships" name="Feed_Intake" sheetId="2" state="visible" r:id="rId2"/>
    <sheet xmlns:r="http://schemas.openxmlformats.org/officeDocument/2006/relationships" name="Reproductive_History" sheetId="3" state="visible" r:id="rId3"/>
    <sheet xmlns:r="http://schemas.openxmlformats.org/officeDocument/2006/relationships" name="Vaccination_Records" sheetId="4" state="visible" r:id="rId4"/>
    <sheet xmlns:r="http://schemas.openxmlformats.org/officeDocument/2006/relationships" name="ML_Training_Dataset" sheetId="5" state="visible" r:id="rId5"/>
    <sheet xmlns:r="http://schemas.openxmlformats.org/officeDocument/2006/relationships" name="Data_Preprocessing_Log" sheetId="6" state="visible" r:id="rId6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1"/>
    </font>
    <font>
      <name val="Arial"/>
      <charset val="1"/>
      <family val="0"/>
      <sz val="10"/>
    </font>
    <font>
      <name val="Arial"/>
      <charset val="1"/>
      <family val="0"/>
      <b val="1"/>
      <color rgb="FF375623"/>
      <sz val="10"/>
    </font>
    <font>
      <name val="Arial"/>
      <charset val="1"/>
      <family val="0"/>
      <b val="1"/>
      <color rgb="FF9C0006"/>
      <sz val="10"/>
    </font>
  </fonts>
  <fills count="6">
    <fill>
      <patternFill/>
    </fill>
    <fill>
      <patternFill patternType="gray125"/>
    </fill>
    <fill>
      <patternFill patternType="solid">
        <fgColor rgb="FF1A3C5E"/>
        <bgColor rgb="FF333399"/>
      </patternFill>
    </fill>
    <fill>
      <patternFill patternType="solid">
        <fgColor rgb="FFEBF3FB"/>
        <bgColor rgb="FFFFFFFF"/>
      </patternFill>
    </fill>
    <fill>
      <patternFill patternType="solid">
        <fgColor rgb="FFC6EFCE"/>
        <bgColor rgb="FFCCFFFF"/>
      </patternFill>
    </fill>
    <fill>
      <patternFill patternType="solid">
        <fgColor rgb="FFFFDDC1"/>
        <bgColor rgb="FFFFFFCC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1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bottom"/>
    </xf>
    <xf numFmtId="0" fontId="6" fillId="4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bottom"/>
    </xf>
    <xf numFmtId="0" fontId="6" fillId="4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BF3F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DDC1"/>
      <rgbColor rgb="FF3366FF"/>
      <rgbColor rgb="FF33CCCC"/>
      <rgbColor rgb="FF99CC00"/>
      <rgbColor rgb="FFFFCC00"/>
      <rgbColor rgb="FFFF9900"/>
      <rgbColor rgb="FFFF6600"/>
      <rgbColor rgb="FF666699"/>
      <rgbColor rgb="FFAAAAAA"/>
      <rgbColor rgb="FF1A3C5E"/>
      <rgbColor rgb="FF339966"/>
      <rgbColor rgb="FF003300"/>
      <rgbColor rgb="FF333300"/>
      <rgbColor rgb="FF993300"/>
      <rgbColor rgb="FF993366"/>
      <rgbColor rgb="FF333399"/>
      <rgbColor rgb="FF37562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J51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0" customWidth="1" style="10" min="1" max="1"/>
    <col width="14" customWidth="1" style="10" min="2" max="2"/>
    <col width="12" customWidth="1" style="10" min="3" max="3"/>
    <col width="14" customWidth="1" style="10" min="4" max="4"/>
    <col width="11" customWidth="1" style="10" min="5" max="5"/>
    <col width="13" customWidth="1" style="10" min="6" max="6"/>
    <col width="14" customWidth="1" style="10" min="7" max="7"/>
    <col width="17" customWidth="1" style="10" min="8" max="8"/>
    <col width="20" customWidth="1" style="10" min="9" max="9"/>
    <col width="15" customWidth="1" style="10" min="10" max="10"/>
  </cols>
  <sheetData>
    <row r="1" ht="34.5" customHeight="1" s="11">
      <c r="A1" s="12" t="inlineStr">
        <is>
          <t>Cow_ID</t>
        </is>
      </c>
      <c r="B1" s="12" t="inlineStr">
        <is>
          <t>RFID_Tag</t>
        </is>
      </c>
      <c r="C1" s="12" t="inlineStr">
        <is>
          <t>Name</t>
        </is>
      </c>
      <c r="D1" s="12" t="inlineStr">
        <is>
          <t>Breed</t>
        </is>
      </c>
      <c r="E1" s="12" t="inlineStr">
        <is>
          <t>Age (yrs)</t>
        </is>
      </c>
      <c r="F1" s="12" t="inlineStr">
        <is>
          <t>Weight (kg)</t>
        </is>
      </c>
      <c r="G1" s="12" t="inlineStr">
        <is>
          <t>Farm_Section</t>
        </is>
      </c>
      <c r="H1" s="12" t="inlineStr">
        <is>
          <t>Date_Registered</t>
        </is>
      </c>
      <c r="I1" s="12" t="inlineStr">
        <is>
          <t>Current_Health_Status</t>
        </is>
      </c>
      <c r="J1" s="12" t="inlineStr">
        <is>
          <t>Remarks</t>
        </is>
      </c>
    </row>
    <row r="2" ht="15" customHeight="1" s="11">
      <c r="A2" s="13" t="inlineStr">
        <is>
          <t>COW001</t>
        </is>
      </c>
      <c r="B2" s="13" t="inlineStr">
        <is>
          <t>RFID100001</t>
        </is>
      </c>
      <c r="C2" s="13" t="inlineStr">
        <is>
          <t>Cow-001</t>
        </is>
      </c>
      <c r="D2" s="13" t="inlineStr">
        <is>
          <t>Crossbred</t>
        </is>
      </c>
      <c r="E2" s="13" t="n">
        <v>2.7</v>
      </c>
      <c r="F2" s="13" t="n">
        <v>532.1</v>
      </c>
      <c r="G2" s="13" t="inlineStr">
        <is>
          <t>A2</t>
        </is>
      </c>
      <c r="H2" s="13" t="inlineStr">
        <is>
          <t>2022-08-17</t>
        </is>
      </c>
      <c r="I2" s="13" t="inlineStr">
        <is>
          <t>Healthy</t>
        </is>
      </c>
      <c r="J2" s="13" t="inlineStr">
        <is>
          <t>Active</t>
        </is>
      </c>
    </row>
    <row r="3" ht="15" customHeight="1" s="11">
      <c r="A3" s="14" t="inlineStr">
        <is>
          <t>COW002</t>
        </is>
      </c>
      <c r="B3" s="14" t="inlineStr">
        <is>
          <t>RFID100002</t>
        </is>
      </c>
      <c r="C3" s="14" t="inlineStr">
        <is>
          <t>Cow-002</t>
        </is>
      </c>
      <c r="D3" s="14" t="inlineStr">
        <is>
          <t>Holstein</t>
        </is>
      </c>
      <c r="E3" s="14" t="n">
        <v>6.1</v>
      </c>
      <c r="F3" s="14" t="n">
        <v>583.3</v>
      </c>
      <c r="G3" s="14" t="inlineStr">
        <is>
          <t>A1</t>
        </is>
      </c>
      <c r="H3" s="14" t="inlineStr">
        <is>
          <t>2023-08-28</t>
        </is>
      </c>
      <c r="I3" s="14" t="inlineStr">
        <is>
          <t>Healthy</t>
        </is>
      </c>
      <c r="J3" s="14" t="inlineStr">
        <is>
          <t>Active</t>
        </is>
      </c>
    </row>
    <row r="4" ht="15" customHeight="1" s="11">
      <c r="A4" s="13" t="inlineStr">
        <is>
          <t>COW003</t>
        </is>
      </c>
      <c r="B4" s="13" t="inlineStr">
        <is>
          <t>RFID100003</t>
        </is>
      </c>
      <c r="C4" s="13" t="inlineStr">
        <is>
          <t>Cow-003</t>
        </is>
      </c>
      <c r="D4" s="13" t="inlineStr">
        <is>
          <t>Holstein</t>
        </is>
      </c>
      <c r="E4" s="13" t="n">
        <v>2.6</v>
      </c>
      <c r="F4" s="13" t="n">
        <v>359.1</v>
      </c>
      <c r="G4" s="13" t="inlineStr">
        <is>
          <t>C1</t>
        </is>
      </c>
      <c r="H4" s="13" t="inlineStr">
        <is>
          <t>2022-01-28</t>
        </is>
      </c>
      <c r="I4" s="13" t="inlineStr">
        <is>
          <t>Healthy</t>
        </is>
      </c>
      <c r="J4" s="13" t="inlineStr">
        <is>
          <t>Active</t>
        </is>
      </c>
    </row>
    <row r="5" ht="15" customHeight="1" s="11">
      <c r="A5" s="14" t="inlineStr">
        <is>
          <t>COW004</t>
        </is>
      </c>
      <c r="B5" s="14" t="inlineStr">
        <is>
          <t>RFID100004</t>
        </is>
      </c>
      <c r="C5" s="14" t="inlineStr">
        <is>
          <t>Cow-004</t>
        </is>
      </c>
      <c r="D5" s="14" t="inlineStr">
        <is>
          <t>Crossbred</t>
        </is>
      </c>
      <c r="E5" s="14" t="n">
        <v>5.9</v>
      </c>
      <c r="F5" s="14" t="n">
        <v>465.3</v>
      </c>
      <c r="G5" s="14" t="inlineStr">
        <is>
          <t>A2</t>
        </is>
      </c>
      <c r="H5" s="14" t="inlineStr">
        <is>
          <t>2023-04-05</t>
        </is>
      </c>
      <c r="I5" s="14" t="inlineStr">
        <is>
          <t>Healthy</t>
        </is>
      </c>
      <c r="J5" s="14" t="inlineStr">
        <is>
          <t>Active</t>
        </is>
      </c>
    </row>
    <row r="6" ht="15" customHeight="1" s="11">
      <c r="A6" s="13" t="inlineStr">
        <is>
          <t>COW005</t>
        </is>
      </c>
      <c r="B6" s="13" t="inlineStr">
        <is>
          <t>RFID100005</t>
        </is>
      </c>
      <c r="C6" s="13" t="inlineStr">
        <is>
          <t>Cow-005</t>
        </is>
      </c>
      <c r="D6" s="13" t="inlineStr">
        <is>
          <t>Holstein</t>
        </is>
      </c>
      <c r="E6" s="13" t="n">
        <v>6.6</v>
      </c>
      <c r="F6" s="13" t="n">
        <v>334.3</v>
      </c>
      <c r="G6" s="13" t="inlineStr">
        <is>
          <t>B2</t>
        </is>
      </c>
      <c r="H6" s="13" t="inlineStr">
        <is>
          <t>2022-12-15</t>
        </is>
      </c>
      <c r="I6" s="13" t="inlineStr">
        <is>
          <t>Healthy</t>
        </is>
      </c>
      <c r="J6" s="13" t="inlineStr">
        <is>
          <t>Active</t>
        </is>
      </c>
    </row>
    <row r="7" ht="15" customHeight="1" s="11">
      <c r="A7" s="14" t="inlineStr">
        <is>
          <t>COW006</t>
        </is>
      </c>
      <c r="B7" s="14" t="inlineStr">
        <is>
          <t>RFID100006</t>
        </is>
      </c>
      <c r="C7" s="14" t="inlineStr">
        <is>
          <t>Cow-006</t>
        </is>
      </c>
      <c r="D7" s="14" t="inlineStr">
        <is>
          <t>Jersey</t>
        </is>
      </c>
      <c r="E7" s="14" t="n">
        <v>7.7</v>
      </c>
      <c r="F7" s="14" t="n">
        <v>394.4</v>
      </c>
      <c r="G7" s="14" t="inlineStr">
        <is>
          <t>A1</t>
        </is>
      </c>
      <c r="H7" s="14" t="inlineStr">
        <is>
          <t>2023-01-25</t>
        </is>
      </c>
      <c r="I7" s="14" t="inlineStr">
        <is>
          <t>Healthy</t>
        </is>
      </c>
      <c r="J7" s="14" t="inlineStr">
        <is>
          <t>Active</t>
        </is>
      </c>
    </row>
    <row r="8" ht="15" customHeight="1" s="11">
      <c r="A8" s="13" t="inlineStr">
        <is>
          <t>COW007</t>
        </is>
      </c>
      <c r="B8" s="13" t="inlineStr">
        <is>
          <t>RFID100007</t>
        </is>
      </c>
      <c r="C8" s="13" t="inlineStr">
        <is>
          <t>Cow-007</t>
        </is>
      </c>
      <c r="D8" s="13" t="inlineStr">
        <is>
          <t>Murrah Buffalo</t>
        </is>
      </c>
      <c r="E8" s="13" t="n">
        <v>5.6</v>
      </c>
      <c r="F8" s="13" t="n">
        <v>554.4</v>
      </c>
      <c r="G8" s="13" t="inlineStr">
        <is>
          <t>B2</t>
        </is>
      </c>
      <c r="H8" s="13" t="inlineStr">
        <is>
          <t>2023-07-04</t>
        </is>
      </c>
      <c r="I8" s="13" t="inlineStr">
        <is>
          <t>Healthy</t>
        </is>
      </c>
      <c r="J8" s="13" t="inlineStr">
        <is>
          <t>Active</t>
        </is>
      </c>
    </row>
    <row r="9" ht="15" customHeight="1" s="11">
      <c r="A9" s="14" t="inlineStr">
        <is>
          <t>COW008</t>
        </is>
      </c>
      <c r="B9" s="14" t="inlineStr">
        <is>
          <t>RFID100008</t>
        </is>
      </c>
      <c r="C9" s="14" t="inlineStr">
        <is>
          <t>Cow-008</t>
        </is>
      </c>
      <c r="D9" s="14" t="inlineStr">
        <is>
          <t>Sahiwal</t>
        </is>
      </c>
      <c r="E9" s="14" t="n">
        <v>2.5</v>
      </c>
      <c r="F9" s="14" t="n">
        <v>379.7</v>
      </c>
      <c r="G9" s="14" t="inlineStr">
        <is>
          <t>C1</t>
        </is>
      </c>
      <c r="H9" s="14" t="inlineStr">
        <is>
          <t>2024-06-01</t>
        </is>
      </c>
      <c r="I9" s="14" t="inlineStr">
        <is>
          <t>Healthy</t>
        </is>
      </c>
      <c r="J9" s="14" t="inlineStr">
        <is>
          <t>Active</t>
        </is>
      </c>
    </row>
    <row r="10" ht="15" customHeight="1" s="11">
      <c r="A10" s="13" t="inlineStr">
        <is>
          <t>COW009</t>
        </is>
      </c>
      <c r="B10" s="13" t="inlineStr">
        <is>
          <t>RFID100009</t>
        </is>
      </c>
      <c r="C10" s="13" t="inlineStr">
        <is>
          <t>Cow-009</t>
        </is>
      </c>
      <c r="D10" s="13" t="inlineStr">
        <is>
          <t>Jersey</t>
        </is>
      </c>
      <c r="E10" s="13" t="n">
        <v>6.2</v>
      </c>
      <c r="F10" s="13" t="n">
        <v>295.6</v>
      </c>
      <c r="G10" s="13" t="inlineStr">
        <is>
          <t>A2</t>
        </is>
      </c>
      <c r="H10" s="13" t="inlineStr">
        <is>
          <t>2024-03-02</t>
        </is>
      </c>
      <c r="I10" s="13" t="inlineStr">
        <is>
          <t>Healthy</t>
        </is>
      </c>
      <c r="J10" s="13" t="inlineStr">
        <is>
          <t>Active</t>
        </is>
      </c>
    </row>
    <row r="11" ht="15" customHeight="1" s="11">
      <c r="A11" s="14" t="inlineStr">
        <is>
          <t>COW010</t>
        </is>
      </c>
      <c r="B11" s="14" t="inlineStr">
        <is>
          <t>RFID100010</t>
        </is>
      </c>
      <c r="C11" s="14" t="inlineStr">
        <is>
          <t>Cow-010</t>
        </is>
      </c>
      <c r="D11" s="14" t="inlineStr">
        <is>
          <t>Holstein</t>
        </is>
      </c>
      <c r="E11" s="14" t="n">
        <v>7.1</v>
      </c>
      <c r="F11" s="14" t="n">
        <v>574.6</v>
      </c>
      <c r="G11" s="14" t="inlineStr">
        <is>
          <t>B2</t>
        </is>
      </c>
      <c r="H11" s="14" t="inlineStr">
        <is>
          <t>2022-10-12</t>
        </is>
      </c>
      <c r="I11" s="14" t="inlineStr">
        <is>
          <t>Healthy</t>
        </is>
      </c>
      <c r="J11" s="14" t="inlineStr">
        <is>
          <t>Active</t>
        </is>
      </c>
    </row>
    <row r="12" ht="15" customHeight="1" s="11">
      <c r="A12" s="13" t="inlineStr">
        <is>
          <t>COW011</t>
        </is>
      </c>
      <c r="B12" s="13" t="inlineStr">
        <is>
          <t>RFID100011</t>
        </is>
      </c>
      <c r="C12" s="13" t="inlineStr">
        <is>
          <t>Cow-011</t>
        </is>
      </c>
      <c r="D12" s="13" t="inlineStr">
        <is>
          <t>Murrah Buffalo</t>
        </is>
      </c>
      <c r="E12" s="13" t="n">
        <v>3</v>
      </c>
      <c r="F12" s="13" t="n">
        <v>400.8</v>
      </c>
      <c r="G12" s="13" t="inlineStr">
        <is>
          <t>B1</t>
        </is>
      </c>
      <c r="H12" s="13" t="inlineStr">
        <is>
          <t>2023-12-20</t>
        </is>
      </c>
      <c r="I12" s="13" t="inlineStr">
        <is>
          <t>Pregnant</t>
        </is>
      </c>
      <c r="J12" s="13" t="inlineStr">
        <is>
          <t>Pregnant</t>
        </is>
      </c>
    </row>
    <row r="13" ht="15" customHeight="1" s="11">
      <c r="A13" s="14" t="inlineStr">
        <is>
          <t>COW012</t>
        </is>
      </c>
      <c r="B13" s="14" t="inlineStr">
        <is>
          <t>RFID100012</t>
        </is>
      </c>
      <c r="C13" s="14" t="inlineStr">
        <is>
          <t>Cow-012</t>
        </is>
      </c>
      <c r="D13" s="14" t="inlineStr">
        <is>
          <t>Crossbred</t>
        </is>
      </c>
      <c r="E13" s="14" t="n">
        <v>2.4</v>
      </c>
      <c r="F13" s="14" t="n">
        <v>495.9</v>
      </c>
      <c r="G13" s="14" t="inlineStr">
        <is>
          <t>C1</t>
        </is>
      </c>
      <c r="H13" s="14" t="inlineStr">
        <is>
          <t>2024-01-17</t>
        </is>
      </c>
      <c r="I13" s="14" t="inlineStr">
        <is>
          <t>Healthy</t>
        </is>
      </c>
      <c r="J13" s="14" t="inlineStr">
        <is>
          <t>Active</t>
        </is>
      </c>
    </row>
    <row r="14" ht="15" customHeight="1" s="11">
      <c r="A14" s="13" t="inlineStr">
        <is>
          <t>COW013</t>
        </is>
      </c>
      <c r="B14" s="13" t="inlineStr">
        <is>
          <t>RFID100013</t>
        </is>
      </c>
      <c r="C14" s="13" t="inlineStr">
        <is>
          <t>Cow-013</t>
        </is>
      </c>
      <c r="D14" s="13" t="inlineStr">
        <is>
          <t>Sahiwal</t>
        </is>
      </c>
      <c r="E14" s="13" t="n">
        <v>4.3</v>
      </c>
      <c r="F14" s="13" t="n">
        <v>616.4</v>
      </c>
      <c r="G14" s="13" t="inlineStr">
        <is>
          <t>C1</t>
        </is>
      </c>
      <c r="H14" s="13" t="inlineStr">
        <is>
          <t>2022-08-13</t>
        </is>
      </c>
      <c r="I14" s="13" t="inlineStr">
        <is>
          <t>Healthy</t>
        </is>
      </c>
      <c r="J14" s="13" t="inlineStr">
        <is>
          <t>Active</t>
        </is>
      </c>
    </row>
    <row r="15" ht="15" customHeight="1" s="11">
      <c r="A15" s="14" t="inlineStr">
        <is>
          <t>COW014</t>
        </is>
      </c>
      <c r="B15" s="14" t="inlineStr">
        <is>
          <t>RFID100014</t>
        </is>
      </c>
      <c r="C15" s="14" t="inlineStr">
        <is>
          <t>Cow-014</t>
        </is>
      </c>
      <c r="D15" s="14" t="inlineStr">
        <is>
          <t>Holstein</t>
        </is>
      </c>
      <c r="E15" s="14" t="n">
        <v>3.4</v>
      </c>
      <c r="F15" s="14" t="n">
        <v>290.9</v>
      </c>
      <c r="G15" s="14" t="inlineStr">
        <is>
          <t>B1</t>
        </is>
      </c>
      <c r="H15" s="14" t="inlineStr">
        <is>
          <t>2023-02-15</t>
        </is>
      </c>
      <c r="I15" s="14" t="inlineStr">
        <is>
          <t>Healthy</t>
        </is>
      </c>
      <c r="J15" s="14" t="inlineStr">
        <is>
          <t>Active</t>
        </is>
      </c>
    </row>
    <row r="16" ht="15" customHeight="1" s="11">
      <c r="A16" s="13" t="inlineStr">
        <is>
          <t>COW015</t>
        </is>
      </c>
      <c r="B16" s="13" t="inlineStr">
        <is>
          <t>RFID100015</t>
        </is>
      </c>
      <c r="C16" s="13" t="inlineStr">
        <is>
          <t>Cow-015</t>
        </is>
      </c>
      <c r="D16" s="13" t="inlineStr">
        <is>
          <t>Jersey</t>
        </is>
      </c>
      <c r="E16" s="13" t="n">
        <v>7.5</v>
      </c>
      <c r="F16" s="13" t="n">
        <v>472.8</v>
      </c>
      <c r="G16" s="13" t="inlineStr">
        <is>
          <t>B1</t>
        </is>
      </c>
      <c r="H16" s="13" t="inlineStr">
        <is>
          <t>2022-08-06</t>
        </is>
      </c>
      <c r="I16" s="13" t="inlineStr">
        <is>
          <t>Healthy</t>
        </is>
      </c>
      <c r="J16" s="13" t="inlineStr">
        <is>
          <t>Active</t>
        </is>
      </c>
    </row>
    <row r="17" ht="15" customHeight="1" s="11">
      <c r="A17" s="14" t="inlineStr">
        <is>
          <t>COW016</t>
        </is>
      </c>
      <c r="B17" s="14" t="inlineStr">
        <is>
          <t>RFID100016</t>
        </is>
      </c>
      <c r="C17" s="14" t="inlineStr">
        <is>
          <t>Cow-016</t>
        </is>
      </c>
      <c r="D17" s="14" t="inlineStr">
        <is>
          <t>Sahiwal</t>
        </is>
      </c>
      <c r="E17" s="14" t="n">
        <v>7.3</v>
      </c>
      <c r="F17" s="14" t="n">
        <v>498.6</v>
      </c>
      <c r="G17" s="14" t="inlineStr">
        <is>
          <t>A2</t>
        </is>
      </c>
      <c r="H17" s="14" t="inlineStr">
        <is>
          <t>2022-09-29</t>
        </is>
      </c>
      <c r="I17" s="14" t="inlineStr">
        <is>
          <t>Healthy</t>
        </is>
      </c>
      <c r="J17" s="14" t="inlineStr">
        <is>
          <t>Active</t>
        </is>
      </c>
    </row>
    <row r="18" ht="15" customHeight="1" s="11">
      <c r="A18" s="13" t="inlineStr">
        <is>
          <t>COW017</t>
        </is>
      </c>
      <c r="B18" s="13" t="inlineStr">
        <is>
          <t>RFID100017</t>
        </is>
      </c>
      <c r="C18" s="13" t="inlineStr">
        <is>
          <t>Cow-017</t>
        </is>
      </c>
      <c r="D18" s="13" t="inlineStr">
        <is>
          <t>Crossbred</t>
        </is>
      </c>
      <c r="E18" s="13" t="n">
        <v>5.4</v>
      </c>
      <c r="F18" s="13" t="n">
        <v>369.3</v>
      </c>
      <c r="G18" s="13" t="inlineStr">
        <is>
          <t>C1</t>
        </is>
      </c>
      <c r="H18" s="13" t="inlineStr">
        <is>
          <t>2023-03-15</t>
        </is>
      </c>
      <c r="I18" s="13" t="inlineStr">
        <is>
          <t>Recovering</t>
        </is>
      </c>
      <c r="J18" s="13" t="inlineStr">
        <is>
          <t>Recovering</t>
        </is>
      </c>
    </row>
    <row r="19" ht="15" customHeight="1" s="11">
      <c r="A19" s="14" t="inlineStr">
        <is>
          <t>COW018</t>
        </is>
      </c>
      <c r="B19" s="14" t="inlineStr">
        <is>
          <t>RFID100018</t>
        </is>
      </c>
      <c r="C19" s="14" t="inlineStr">
        <is>
          <t>Cow-018</t>
        </is>
      </c>
      <c r="D19" s="14" t="inlineStr">
        <is>
          <t>Sahiwal</t>
        </is>
      </c>
      <c r="E19" s="14" t="n">
        <v>4.2</v>
      </c>
      <c r="F19" s="14" t="n">
        <v>619.1</v>
      </c>
      <c r="G19" s="14" t="inlineStr">
        <is>
          <t>A2</t>
        </is>
      </c>
      <c r="H19" s="14" t="inlineStr">
        <is>
          <t>2023-06-06</t>
        </is>
      </c>
      <c r="I19" s="14" t="inlineStr">
        <is>
          <t>Healthy</t>
        </is>
      </c>
      <c r="J19" s="14" t="inlineStr">
        <is>
          <t>Active</t>
        </is>
      </c>
    </row>
    <row r="20" ht="15" customHeight="1" s="11">
      <c r="A20" s="13" t="inlineStr">
        <is>
          <t>COW019</t>
        </is>
      </c>
      <c r="B20" s="13" t="inlineStr">
        <is>
          <t>RFID100019</t>
        </is>
      </c>
      <c r="C20" s="13" t="inlineStr">
        <is>
          <t>Cow-019</t>
        </is>
      </c>
      <c r="D20" s="13" t="inlineStr">
        <is>
          <t>Holstein</t>
        </is>
      </c>
      <c r="E20" s="13" t="n">
        <v>7.2</v>
      </c>
      <c r="F20" s="13" t="n">
        <v>332</v>
      </c>
      <c r="G20" s="13" t="inlineStr">
        <is>
          <t>A2</t>
        </is>
      </c>
      <c r="H20" s="13" t="inlineStr">
        <is>
          <t>2024-03-22</t>
        </is>
      </c>
      <c r="I20" s="13" t="inlineStr">
        <is>
          <t>Healthy</t>
        </is>
      </c>
      <c r="J20" s="13" t="inlineStr">
        <is>
          <t>Active</t>
        </is>
      </c>
    </row>
    <row r="21" ht="15" customHeight="1" s="11">
      <c r="A21" s="14" t="inlineStr">
        <is>
          <t>COW020</t>
        </is>
      </c>
      <c r="B21" s="14" t="inlineStr">
        <is>
          <t>RFID100020</t>
        </is>
      </c>
      <c r="C21" s="14" t="inlineStr">
        <is>
          <t>Cow-020</t>
        </is>
      </c>
      <c r="D21" s="14" t="inlineStr">
        <is>
          <t>Gir</t>
        </is>
      </c>
      <c r="E21" s="14" t="n">
        <v>2.4</v>
      </c>
      <c r="F21" s="14" t="n">
        <v>409.8</v>
      </c>
      <c r="G21" s="14" t="inlineStr">
        <is>
          <t>B2</t>
        </is>
      </c>
      <c r="H21" s="14" t="inlineStr">
        <is>
          <t>2023-06-26</t>
        </is>
      </c>
      <c r="I21" s="14" t="inlineStr">
        <is>
          <t>Healthy</t>
        </is>
      </c>
      <c r="J21" s="14" t="inlineStr">
        <is>
          <t>Active</t>
        </is>
      </c>
    </row>
    <row r="22" ht="15" customHeight="1" s="11">
      <c r="A22" s="13" t="inlineStr">
        <is>
          <t>COW021</t>
        </is>
      </c>
      <c r="B22" s="13" t="inlineStr">
        <is>
          <t>RFID100021</t>
        </is>
      </c>
      <c r="C22" s="13" t="inlineStr">
        <is>
          <t>Cow-021</t>
        </is>
      </c>
      <c r="D22" s="13" t="inlineStr">
        <is>
          <t>Gir</t>
        </is>
      </c>
      <c r="E22" s="13" t="n">
        <v>7.2</v>
      </c>
      <c r="F22" s="13" t="n">
        <v>283.9</v>
      </c>
      <c r="G22" s="13" t="inlineStr">
        <is>
          <t>A1</t>
        </is>
      </c>
      <c r="H22" s="13" t="inlineStr">
        <is>
          <t>2023-11-30</t>
        </is>
      </c>
      <c r="I22" s="13" t="inlineStr">
        <is>
          <t>Recovering</t>
        </is>
      </c>
      <c r="J22" s="13" t="inlineStr">
        <is>
          <t>Recovering</t>
        </is>
      </c>
    </row>
    <row r="23" ht="15" customHeight="1" s="11">
      <c r="A23" s="14" t="inlineStr">
        <is>
          <t>COW022</t>
        </is>
      </c>
      <c r="B23" s="14" t="inlineStr">
        <is>
          <t>RFID100022</t>
        </is>
      </c>
      <c r="C23" s="14" t="inlineStr">
        <is>
          <t>Cow-022</t>
        </is>
      </c>
      <c r="D23" s="14" t="inlineStr">
        <is>
          <t>Murrah Buffalo</t>
        </is>
      </c>
      <c r="E23" s="14" t="n">
        <v>6.6</v>
      </c>
      <c r="F23" s="14" t="n">
        <v>395.7</v>
      </c>
      <c r="G23" s="14" t="inlineStr">
        <is>
          <t>B1</t>
        </is>
      </c>
      <c r="H23" s="14" t="inlineStr">
        <is>
          <t>2023-03-22</t>
        </is>
      </c>
      <c r="I23" s="14" t="inlineStr">
        <is>
          <t>Healthy</t>
        </is>
      </c>
      <c r="J23" s="14" t="inlineStr">
        <is>
          <t>Active</t>
        </is>
      </c>
    </row>
    <row r="24" ht="15" customHeight="1" s="11">
      <c r="A24" s="13" t="inlineStr">
        <is>
          <t>COW023</t>
        </is>
      </c>
      <c r="B24" s="13" t="inlineStr">
        <is>
          <t>RFID100023</t>
        </is>
      </c>
      <c r="C24" s="13" t="inlineStr">
        <is>
          <t>Cow-023</t>
        </is>
      </c>
      <c r="D24" s="13" t="inlineStr">
        <is>
          <t>Holstein</t>
        </is>
      </c>
      <c r="E24" s="13" t="n">
        <v>7.7</v>
      </c>
      <c r="F24" s="13" t="n">
        <v>577.8</v>
      </c>
      <c r="G24" s="13" t="inlineStr">
        <is>
          <t>B1</t>
        </is>
      </c>
      <c r="H24" s="13" t="inlineStr">
        <is>
          <t>2023-05-28</t>
        </is>
      </c>
      <c r="I24" s="13" t="inlineStr">
        <is>
          <t>Under Observation</t>
        </is>
      </c>
      <c r="J24" s="13" t="inlineStr">
        <is>
          <t>Under Observation</t>
        </is>
      </c>
    </row>
    <row r="25" ht="15" customHeight="1" s="11">
      <c r="A25" s="14" t="inlineStr">
        <is>
          <t>COW024</t>
        </is>
      </c>
      <c r="B25" s="14" t="inlineStr">
        <is>
          <t>RFID100024</t>
        </is>
      </c>
      <c r="C25" s="14" t="inlineStr">
        <is>
          <t>Cow-024</t>
        </is>
      </c>
      <c r="D25" s="14" t="inlineStr">
        <is>
          <t>Gir</t>
        </is>
      </c>
      <c r="E25" s="14" t="n">
        <v>7.5</v>
      </c>
      <c r="F25" s="14" t="n">
        <v>576</v>
      </c>
      <c r="G25" s="14" t="inlineStr">
        <is>
          <t>B1</t>
        </is>
      </c>
      <c r="H25" s="14" t="inlineStr">
        <is>
          <t>2024-05-11</t>
        </is>
      </c>
      <c r="I25" s="14" t="inlineStr">
        <is>
          <t>Healthy</t>
        </is>
      </c>
      <c r="J25" s="14" t="inlineStr">
        <is>
          <t>Active</t>
        </is>
      </c>
    </row>
    <row r="26" ht="15" customHeight="1" s="11">
      <c r="A26" s="13" t="inlineStr">
        <is>
          <t>COW025</t>
        </is>
      </c>
      <c r="B26" s="13" t="inlineStr">
        <is>
          <t>RFID100025</t>
        </is>
      </c>
      <c r="C26" s="13" t="inlineStr">
        <is>
          <t>Cow-025</t>
        </is>
      </c>
      <c r="D26" s="13" t="inlineStr">
        <is>
          <t>Gir</t>
        </is>
      </c>
      <c r="E26" s="13" t="n">
        <v>3.2</v>
      </c>
      <c r="F26" s="13" t="n">
        <v>407.1</v>
      </c>
      <c r="G26" s="13" t="inlineStr">
        <is>
          <t>A2</t>
        </is>
      </c>
      <c r="H26" s="13" t="inlineStr">
        <is>
          <t>2023-07-07</t>
        </is>
      </c>
      <c r="I26" s="13" t="inlineStr">
        <is>
          <t>Pregnant</t>
        </is>
      </c>
      <c r="J26" s="13" t="inlineStr">
        <is>
          <t>Pregnant</t>
        </is>
      </c>
    </row>
    <row r="27" ht="15" customHeight="1" s="11">
      <c r="A27" s="14" t="inlineStr">
        <is>
          <t>COW026</t>
        </is>
      </c>
      <c r="B27" s="14" t="inlineStr">
        <is>
          <t>RFID100026</t>
        </is>
      </c>
      <c r="C27" s="14" t="inlineStr">
        <is>
          <t>Cow-026</t>
        </is>
      </c>
      <c r="D27" s="14" t="inlineStr">
        <is>
          <t>Gir</t>
        </is>
      </c>
      <c r="E27" s="14" t="n">
        <v>7.5</v>
      </c>
      <c r="F27" s="14" t="n">
        <v>483.6</v>
      </c>
      <c r="G27" s="14" t="inlineStr">
        <is>
          <t>B2</t>
        </is>
      </c>
      <c r="H27" s="14" t="inlineStr">
        <is>
          <t>2022-01-20</t>
        </is>
      </c>
      <c r="I27" s="14" t="inlineStr">
        <is>
          <t>Healthy</t>
        </is>
      </c>
      <c r="J27" s="14" t="inlineStr">
        <is>
          <t>Active</t>
        </is>
      </c>
    </row>
    <row r="28" ht="15" customHeight="1" s="11">
      <c r="A28" s="13" t="inlineStr">
        <is>
          <t>COW027</t>
        </is>
      </c>
      <c r="B28" s="13" t="inlineStr">
        <is>
          <t>RFID100027</t>
        </is>
      </c>
      <c r="C28" s="13" t="inlineStr">
        <is>
          <t>Cow-027</t>
        </is>
      </c>
      <c r="D28" s="13" t="inlineStr">
        <is>
          <t>Murrah Buffalo</t>
        </is>
      </c>
      <c r="E28" s="13" t="n">
        <v>7.3</v>
      </c>
      <c r="F28" s="13" t="n">
        <v>562.8</v>
      </c>
      <c r="G28" s="13" t="inlineStr">
        <is>
          <t>B1</t>
        </is>
      </c>
      <c r="H28" s="13" t="inlineStr">
        <is>
          <t>2022-09-03</t>
        </is>
      </c>
      <c r="I28" s="13" t="inlineStr">
        <is>
          <t>Healthy</t>
        </is>
      </c>
      <c r="J28" s="13" t="inlineStr">
        <is>
          <t>Active</t>
        </is>
      </c>
    </row>
    <row r="29" ht="15" customHeight="1" s="11">
      <c r="A29" s="14" t="inlineStr">
        <is>
          <t>COW028</t>
        </is>
      </c>
      <c r="B29" s="14" t="inlineStr">
        <is>
          <t>RFID100028</t>
        </is>
      </c>
      <c r="C29" s="14" t="inlineStr">
        <is>
          <t>Cow-028</t>
        </is>
      </c>
      <c r="D29" s="14" t="inlineStr">
        <is>
          <t>Gir</t>
        </is>
      </c>
      <c r="E29" s="14" t="n">
        <v>7.7</v>
      </c>
      <c r="F29" s="14" t="n">
        <v>309.1</v>
      </c>
      <c r="G29" s="14" t="inlineStr">
        <is>
          <t>B2</t>
        </is>
      </c>
      <c r="H29" s="14" t="inlineStr">
        <is>
          <t>2024-04-15</t>
        </is>
      </c>
      <c r="I29" s="14" t="inlineStr">
        <is>
          <t>Healthy</t>
        </is>
      </c>
      <c r="J29" s="14" t="inlineStr">
        <is>
          <t>Active</t>
        </is>
      </c>
    </row>
    <row r="30" ht="15" customHeight="1" s="11">
      <c r="A30" s="13" t="inlineStr">
        <is>
          <t>COW029</t>
        </is>
      </c>
      <c r="B30" s="13" t="inlineStr">
        <is>
          <t>RFID100029</t>
        </is>
      </c>
      <c r="C30" s="13" t="inlineStr">
        <is>
          <t>Cow-029</t>
        </is>
      </c>
      <c r="D30" s="13" t="inlineStr">
        <is>
          <t>Gir</t>
        </is>
      </c>
      <c r="E30" s="13" t="n">
        <v>6.6</v>
      </c>
      <c r="F30" s="13" t="n">
        <v>323.7</v>
      </c>
      <c r="G30" s="13" t="inlineStr">
        <is>
          <t>B2</t>
        </is>
      </c>
      <c r="H30" s="13" t="inlineStr">
        <is>
          <t>2023-07-17</t>
        </is>
      </c>
      <c r="I30" s="13" t="inlineStr">
        <is>
          <t>Healthy</t>
        </is>
      </c>
      <c r="J30" s="13" t="inlineStr">
        <is>
          <t>Active</t>
        </is>
      </c>
    </row>
    <row r="31" ht="15" customHeight="1" s="11">
      <c r="A31" s="14" t="inlineStr">
        <is>
          <t>COW030</t>
        </is>
      </c>
      <c r="B31" s="14" t="inlineStr">
        <is>
          <t>RFID100030</t>
        </is>
      </c>
      <c r="C31" s="14" t="inlineStr">
        <is>
          <t>Cow-030</t>
        </is>
      </c>
      <c r="D31" s="14" t="inlineStr">
        <is>
          <t>Gir</t>
        </is>
      </c>
      <c r="E31" s="14" t="n">
        <v>7.2</v>
      </c>
      <c r="F31" s="14" t="n">
        <v>423.9</v>
      </c>
      <c r="G31" s="14" t="inlineStr">
        <is>
          <t>A2</t>
        </is>
      </c>
      <c r="H31" s="14" t="inlineStr">
        <is>
          <t>2023-07-07</t>
        </is>
      </c>
      <c r="I31" s="14" t="inlineStr">
        <is>
          <t>Under Observation</t>
        </is>
      </c>
      <c r="J31" s="14" t="inlineStr">
        <is>
          <t>Under Observation</t>
        </is>
      </c>
    </row>
    <row r="32" ht="15" customHeight="1" s="11">
      <c r="A32" s="13" t="inlineStr">
        <is>
          <t>COW031</t>
        </is>
      </c>
      <c r="B32" s="13" t="inlineStr">
        <is>
          <t>RFID100031</t>
        </is>
      </c>
      <c r="C32" s="13" t="inlineStr">
        <is>
          <t>Cow-031</t>
        </is>
      </c>
      <c r="D32" s="13" t="inlineStr">
        <is>
          <t>Crossbred</t>
        </is>
      </c>
      <c r="E32" s="13" t="n">
        <v>3.2</v>
      </c>
      <c r="F32" s="13" t="n">
        <v>386</v>
      </c>
      <c r="G32" s="13" t="inlineStr">
        <is>
          <t>B1</t>
        </is>
      </c>
      <c r="H32" s="13" t="inlineStr">
        <is>
          <t>2023-03-25</t>
        </is>
      </c>
      <c r="I32" s="13" t="inlineStr">
        <is>
          <t>Recovering</t>
        </is>
      </c>
      <c r="J32" s="13" t="inlineStr">
        <is>
          <t>Recovering</t>
        </is>
      </c>
    </row>
    <row r="33" ht="15" customHeight="1" s="11">
      <c r="A33" s="14" t="inlineStr">
        <is>
          <t>COW032</t>
        </is>
      </c>
      <c r="B33" s="14" t="inlineStr">
        <is>
          <t>RFID100032</t>
        </is>
      </c>
      <c r="C33" s="14" t="inlineStr">
        <is>
          <t>Cow-032</t>
        </is>
      </c>
      <c r="D33" s="14" t="inlineStr">
        <is>
          <t>Sahiwal</t>
        </is>
      </c>
      <c r="E33" s="14" t="n">
        <v>2.7</v>
      </c>
      <c r="F33" s="14" t="n">
        <v>356.4</v>
      </c>
      <c r="G33" s="14" t="inlineStr">
        <is>
          <t>B1</t>
        </is>
      </c>
      <c r="H33" s="14" t="inlineStr">
        <is>
          <t>2022-01-22</t>
        </is>
      </c>
      <c r="I33" s="14" t="inlineStr">
        <is>
          <t>Healthy</t>
        </is>
      </c>
      <c r="J33" s="14" t="inlineStr">
        <is>
          <t>Active</t>
        </is>
      </c>
    </row>
    <row r="34" ht="15" customHeight="1" s="11">
      <c r="A34" s="13" t="inlineStr">
        <is>
          <t>COW033</t>
        </is>
      </c>
      <c r="B34" s="13" t="inlineStr">
        <is>
          <t>RFID100033</t>
        </is>
      </c>
      <c r="C34" s="13" t="inlineStr">
        <is>
          <t>Cow-033</t>
        </is>
      </c>
      <c r="D34" s="13" t="inlineStr">
        <is>
          <t>Jersey</t>
        </is>
      </c>
      <c r="E34" s="13" t="n">
        <v>5.5</v>
      </c>
      <c r="F34" s="13" t="n">
        <v>282.4</v>
      </c>
      <c r="G34" s="13" t="inlineStr">
        <is>
          <t>A1</t>
        </is>
      </c>
      <c r="H34" s="13" t="inlineStr">
        <is>
          <t>2022-08-23</t>
        </is>
      </c>
      <c r="I34" s="13" t="inlineStr">
        <is>
          <t>Healthy</t>
        </is>
      </c>
      <c r="J34" s="13" t="inlineStr">
        <is>
          <t>Active</t>
        </is>
      </c>
    </row>
    <row r="35" ht="15" customHeight="1" s="11">
      <c r="A35" s="14" t="inlineStr">
        <is>
          <t>COW034</t>
        </is>
      </c>
      <c r="B35" s="14" t="inlineStr">
        <is>
          <t>RFID100034</t>
        </is>
      </c>
      <c r="C35" s="14" t="inlineStr">
        <is>
          <t>Cow-034</t>
        </is>
      </c>
      <c r="D35" s="14" t="inlineStr">
        <is>
          <t>Holstein</t>
        </is>
      </c>
      <c r="E35" s="14" t="n">
        <v>7.2</v>
      </c>
      <c r="F35" s="14" t="n">
        <v>304.1</v>
      </c>
      <c r="G35" s="14" t="inlineStr">
        <is>
          <t>A2</t>
        </is>
      </c>
      <c r="H35" s="14" t="inlineStr">
        <is>
          <t>2022-10-13</t>
        </is>
      </c>
      <c r="I35" s="14" t="inlineStr">
        <is>
          <t>Healthy</t>
        </is>
      </c>
      <c r="J35" s="14" t="inlineStr">
        <is>
          <t>Active</t>
        </is>
      </c>
    </row>
    <row r="36" ht="15" customHeight="1" s="11">
      <c r="A36" s="13" t="inlineStr">
        <is>
          <t>COW035</t>
        </is>
      </c>
      <c r="B36" s="13" t="inlineStr">
        <is>
          <t>RFID100035</t>
        </is>
      </c>
      <c r="C36" s="13" t="inlineStr">
        <is>
          <t>Cow-035</t>
        </is>
      </c>
      <c r="D36" s="13" t="inlineStr">
        <is>
          <t>Jersey</t>
        </is>
      </c>
      <c r="E36" s="13" t="n">
        <v>5.2</v>
      </c>
      <c r="F36" s="13" t="n">
        <v>525.9</v>
      </c>
      <c r="G36" s="13" t="inlineStr">
        <is>
          <t>C1</t>
        </is>
      </c>
      <c r="H36" s="13" t="inlineStr">
        <is>
          <t>2023-08-14</t>
        </is>
      </c>
      <c r="I36" s="13" t="inlineStr">
        <is>
          <t>Healthy</t>
        </is>
      </c>
      <c r="J36" s="13" t="inlineStr">
        <is>
          <t>Active</t>
        </is>
      </c>
    </row>
    <row r="37" ht="15" customHeight="1" s="11">
      <c r="A37" s="14" t="inlineStr">
        <is>
          <t>COW036</t>
        </is>
      </c>
      <c r="B37" s="14" t="inlineStr">
        <is>
          <t>RFID100036</t>
        </is>
      </c>
      <c r="C37" s="14" t="inlineStr">
        <is>
          <t>Cow-036</t>
        </is>
      </c>
      <c r="D37" s="14" t="inlineStr">
        <is>
          <t>Sahiwal</t>
        </is>
      </c>
      <c r="E37" s="14" t="n">
        <v>6.8</v>
      </c>
      <c r="F37" s="14" t="n">
        <v>344.7</v>
      </c>
      <c r="G37" s="14" t="inlineStr">
        <is>
          <t>A1</t>
        </is>
      </c>
      <c r="H37" s="14" t="inlineStr">
        <is>
          <t>2023-11-06</t>
        </is>
      </c>
      <c r="I37" s="14" t="inlineStr">
        <is>
          <t>Healthy</t>
        </is>
      </c>
      <c r="J37" s="14" t="inlineStr">
        <is>
          <t>Active</t>
        </is>
      </c>
    </row>
    <row r="38" ht="15" customHeight="1" s="11">
      <c r="A38" s="13" t="inlineStr">
        <is>
          <t>COW037</t>
        </is>
      </c>
      <c r="B38" s="13" t="inlineStr">
        <is>
          <t>RFID100037</t>
        </is>
      </c>
      <c r="C38" s="13" t="inlineStr">
        <is>
          <t>Cow-037</t>
        </is>
      </c>
      <c r="D38" s="13" t="inlineStr">
        <is>
          <t>Sahiwal</t>
        </is>
      </c>
      <c r="E38" s="13" t="n">
        <v>4.5</v>
      </c>
      <c r="F38" s="13" t="n">
        <v>573.7</v>
      </c>
      <c r="G38" s="13" t="inlineStr">
        <is>
          <t>A1</t>
        </is>
      </c>
      <c r="H38" s="13" t="inlineStr">
        <is>
          <t>2023-11-21</t>
        </is>
      </c>
      <c r="I38" s="13" t="inlineStr">
        <is>
          <t>Healthy</t>
        </is>
      </c>
      <c r="J38" s="13" t="inlineStr">
        <is>
          <t>Active</t>
        </is>
      </c>
    </row>
    <row r="39" ht="15" customHeight="1" s="11">
      <c r="A39" s="14" t="inlineStr">
        <is>
          <t>COW038</t>
        </is>
      </c>
      <c r="B39" s="14" t="inlineStr">
        <is>
          <t>RFID100038</t>
        </is>
      </c>
      <c r="C39" s="14" t="inlineStr">
        <is>
          <t>Cow-038</t>
        </is>
      </c>
      <c r="D39" s="14" t="inlineStr">
        <is>
          <t>Crossbred</t>
        </is>
      </c>
      <c r="E39" s="14" t="n">
        <v>2.6</v>
      </c>
      <c r="F39" s="14" t="n">
        <v>416.9</v>
      </c>
      <c r="G39" s="14" t="inlineStr">
        <is>
          <t>B1</t>
        </is>
      </c>
      <c r="H39" s="14" t="inlineStr">
        <is>
          <t>2024-03-30</t>
        </is>
      </c>
      <c r="I39" s="14" t="inlineStr">
        <is>
          <t>Recovering</t>
        </is>
      </c>
      <c r="J39" s="14" t="inlineStr">
        <is>
          <t>Recovering</t>
        </is>
      </c>
    </row>
    <row r="40" ht="15" customHeight="1" s="11">
      <c r="A40" s="13" t="inlineStr">
        <is>
          <t>COW039</t>
        </is>
      </c>
      <c r="B40" s="13" t="inlineStr">
        <is>
          <t>RFID100039</t>
        </is>
      </c>
      <c r="C40" s="13" t="inlineStr">
        <is>
          <t>Cow-039</t>
        </is>
      </c>
      <c r="D40" s="13" t="inlineStr">
        <is>
          <t>Jersey</t>
        </is>
      </c>
      <c r="E40" s="13" t="n">
        <v>3.1</v>
      </c>
      <c r="F40" s="13" t="n">
        <v>462.3</v>
      </c>
      <c r="G40" s="13" t="inlineStr">
        <is>
          <t>A2</t>
        </is>
      </c>
      <c r="H40" s="13" t="inlineStr">
        <is>
          <t>2023-03-09</t>
        </is>
      </c>
      <c r="I40" s="13" t="inlineStr">
        <is>
          <t>Healthy</t>
        </is>
      </c>
      <c r="J40" s="13" t="inlineStr">
        <is>
          <t>Active</t>
        </is>
      </c>
    </row>
    <row r="41" ht="15" customHeight="1" s="11">
      <c r="A41" s="14" t="inlineStr">
        <is>
          <t>COW040</t>
        </is>
      </c>
      <c r="B41" s="14" t="inlineStr">
        <is>
          <t>RFID100040</t>
        </is>
      </c>
      <c r="C41" s="14" t="inlineStr">
        <is>
          <t>Cow-040</t>
        </is>
      </c>
      <c r="D41" s="14" t="inlineStr">
        <is>
          <t>Sahiwal</t>
        </is>
      </c>
      <c r="E41" s="14" t="n">
        <v>3.5</v>
      </c>
      <c r="F41" s="14" t="n">
        <v>593.9</v>
      </c>
      <c r="G41" s="14" t="inlineStr">
        <is>
          <t>B2</t>
        </is>
      </c>
      <c r="H41" s="14" t="inlineStr">
        <is>
          <t>2024-04-07</t>
        </is>
      </c>
      <c r="I41" s="14" t="inlineStr">
        <is>
          <t>Recovering</t>
        </is>
      </c>
      <c r="J41" s="14" t="inlineStr">
        <is>
          <t>Recovering</t>
        </is>
      </c>
    </row>
    <row r="42" ht="15" customHeight="1" s="11">
      <c r="A42" s="13" t="inlineStr">
        <is>
          <t>COW041</t>
        </is>
      </c>
      <c r="B42" s="13" t="inlineStr">
        <is>
          <t>RFID100041</t>
        </is>
      </c>
      <c r="C42" s="13" t="inlineStr">
        <is>
          <t>Cow-041</t>
        </is>
      </c>
      <c r="D42" s="13" t="inlineStr">
        <is>
          <t>Gir</t>
        </is>
      </c>
      <c r="E42" s="13" t="n">
        <v>2.6</v>
      </c>
      <c r="F42" s="13" t="n">
        <v>501.7</v>
      </c>
      <c r="G42" s="13" t="inlineStr">
        <is>
          <t>C1</t>
        </is>
      </c>
      <c r="H42" s="13" t="inlineStr">
        <is>
          <t>2024-05-06</t>
        </is>
      </c>
      <c r="I42" s="13" t="inlineStr">
        <is>
          <t>Healthy</t>
        </is>
      </c>
      <c r="J42" s="13" t="inlineStr">
        <is>
          <t>Active</t>
        </is>
      </c>
    </row>
    <row r="43" ht="15" customHeight="1" s="11">
      <c r="A43" s="14" t="inlineStr">
        <is>
          <t>COW042</t>
        </is>
      </c>
      <c r="B43" s="14" t="inlineStr">
        <is>
          <t>RFID100042</t>
        </is>
      </c>
      <c r="C43" s="14" t="inlineStr">
        <is>
          <t>Cow-042</t>
        </is>
      </c>
      <c r="D43" s="14" t="inlineStr">
        <is>
          <t>Holstein</t>
        </is>
      </c>
      <c r="E43" s="14" t="n">
        <v>7.6</v>
      </c>
      <c r="F43" s="14" t="n">
        <v>568.6</v>
      </c>
      <c r="G43" s="14" t="inlineStr">
        <is>
          <t>A2</t>
        </is>
      </c>
      <c r="H43" s="14" t="inlineStr">
        <is>
          <t>2023-02-21</t>
        </is>
      </c>
      <c r="I43" s="14" t="inlineStr">
        <is>
          <t>Healthy</t>
        </is>
      </c>
      <c r="J43" s="14" t="inlineStr">
        <is>
          <t>Active</t>
        </is>
      </c>
    </row>
    <row r="44" ht="15" customHeight="1" s="11">
      <c r="A44" s="13" t="inlineStr">
        <is>
          <t>COW043</t>
        </is>
      </c>
      <c r="B44" s="13" t="inlineStr">
        <is>
          <t>RFID100043</t>
        </is>
      </c>
      <c r="C44" s="13" t="inlineStr">
        <is>
          <t>Cow-043</t>
        </is>
      </c>
      <c r="D44" s="13" t="inlineStr">
        <is>
          <t>Jersey</t>
        </is>
      </c>
      <c r="E44" s="13" t="n">
        <v>7.2</v>
      </c>
      <c r="F44" s="13" t="n">
        <v>586.8</v>
      </c>
      <c r="G44" s="13" t="inlineStr">
        <is>
          <t>A2</t>
        </is>
      </c>
      <c r="H44" s="13" t="inlineStr">
        <is>
          <t>2023-01-24</t>
        </is>
      </c>
      <c r="I44" s="13" t="inlineStr">
        <is>
          <t>Healthy</t>
        </is>
      </c>
      <c r="J44" s="13" t="inlineStr">
        <is>
          <t>Active</t>
        </is>
      </c>
    </row>
    <row r="45" ht="15" customHeight="1" s="11">
      <c r="A45" s="14" t="inlineStr">
        <is>
          <t>COW044</t>
        </is>
      </c>
      <c r="B45" s="14" t="inlineStr">
        <is>
          <t>RFID100044</t>
        </is>
      </c>
      <c r="C45" s="14" t="inlineStr">
        <is>
          <t>Cow-044</t>
        </is>
      </c>
      <c r="D45" s="14" t="inlineStr">
        <is>
          <t>Sahiwal</t>
        </is>
      </c>
      <c r="E45" s="14" t="n">
        <v>3.6</v>
      </c>
      <c r="F45" s="14" t="n">
        <v>546.6</v>
      </c>
      <c r="G45" s="14" t="inlineStr">
        <is>
          <t>B2</t>
        </is>
      </c>
      <c r="H45" s="14" t="inlineStr">
        <is>
          <t>2022-10-20</t>
        </is>
      </c>
      <c r="I45" s="14" t="inlineStr">
        <is>
          <t>Healthy</t>
        </is>
      </c>
      <c r="J45" s="14" t="inlineStr">
        <is>
          <t>Active</t>
        </is>
      </c>
    </row>
    <row r="46" ht="15" customHeight="1" s="11">
      <c r="A46" s="13" t="inlineStr">
        <is>
          <t>COW045</t>
        </is>
      </c>
      <c r="B46" s="13" t="inlineStr">
        <is>
          <t>RFID100045</t>
        </is>
      </c>
      <c r="C46" s="13" t="inlineStr">
        <is>
          <t>Cow-045</t>
        </is>
      </c>
      <c r="D46" s="13" t="inlineStr">
        <is>
          <t>Crossbred</t>
        </is>
      </c>
      <c r="E46" s="13" t="n">
        <v>8</v>
      </c>
      <c r="F46" s="13" t="n">
        <v>469</v>
      </c>
      <c r="G46" s="13" t="inlineStr">
        <is>
          <t>B2</t>
        </is>
      </c>
      <c r="H46" s="13" t="inlineStr">
        <is>
          <t>2022-06-08</t>
        </is>
      </c>
      <c r="I46" s="13" t="inlineStr">
        <is>
          <t>Healthy</t>
        </is>
      </c>
      <c r="J46" s="13" t="inlineStr">
        <is>
          <t>Active</t>
        </is>
      </c>
    </row>
    <row r="47" ht="15" customHeight="1" s="11">
      <c r="A47" s="14" t="inlineStr">
        <is>
          <t>COW046</t>
        </is>
      </c>
      <c r="B47" s="14" t="inlineStr">
        <is>
          <t>RFID100046</t>
        </is>
      </c>
      <c r="C47" s="14" t="inlineStr">
        <is>
          <t>Cow-046</t>
        </is>
      </c>
      <c r="D47" s="14" t="inlineStr">
        <is>
          <t>Jersey</t>
        </is>
      </c>
      <c r="E47" s="14" t="n">
        <v>7.8</v>
      </c>
      <c r="F47" s="14" t="n">
        <v>476.9</v>
      </c>
      <c r="G47" s="14" t="inlineStr">
        <is>
          <t>C1</t>
        </is>
      </c>
      <c r="H47" s="14" t="inlineStr">
        <is>
          <t>2022-03-04</t>
        </is>
      </c>
      <c r="I47" s="14" t="inlineStr">
        <is>
          <t>Under Observation</t>
        </is>
      </c>
      <c r="J47" s="14" t="inlineStr">
        <is>
          <t>Under Observation</t>
        </is>
      </c>
    </row>
    <row r="48" ht="15" customHeight="1" s="11">
      <c r="A48" s="13" t="inlineStr">
        <is>
          <t>COW047</t>
        </is>
      </c>
      <c r="B48" s="13" t="inlineStr">
        <is>
          <t>RFID100047</t>
        </is>
      </c>
      <c r="C48" s="13" t="inlineStr">
        <is>
          <t>Cow-047</t>
        </is>
      </c>
      <c r="D48" s="13" t="inlineStr">
        <is>
          <t>Holstein</t>
        </is>
      </c>
      <c r="E48" s="13" t="n">
        <v>2.3</v>
      </c>
      <c r="F48" s="13" t="n">
        <v>442.1</v>
      </c>
      <c r="G48" s="13" t="inlineStr">
        <is>
          <t>C1</t>
        </is>
      </c>
      <c r="H48" s="13" t="inlineStr">
        <is>
          <t>2022-06-11</t>
        </is>
      </c>
      <c r="I48" s="13" t="inlineStr">
        <is>
          <t>Healthy</t>
        </is>
      </c>
      <c r="J48" s="13" t="inlineStr">
        <is>
          <t>Active</t>
        </is>
      </c>
    </row>
    <row r="49" ht="15" customHeight="1" s="11">
      <c r="A49" s="14" t="inlineStr">
        <is>
          <t>COW048</t>
        </is>
      </c>
      <c r="B49" s="14" t="inlineStr">
        <is>
          <t>RFID100048</t>
        </is>
      </c>
      <c r="C49" s="14" t="inlineStr">
        <is>
          <t>Cow-048</t>
        </is>
      </c>
      <c r="D49" s="14" t="inlineStr">
        <is>
          <t>Gir</t>
        </is>
      </c>
      <c r="E49" s="14" t="n">
        <v>2.5</v>
      </c>
      <c r="F49" s="14" t="n">
        <v>343.2</v>
      </c>
      <c r="G49" s="14" t="inlineStr">
        <is>
          <t>C1</t>
        </is>
      </c>
      <c r="H49" s="14" t="inlineStr">
        <is>
          <t>2022-03-11</t>
        </is>
      </c>
      <c r="I49" s="14" t="inlineStr">
        <is>
          <t>Healthy</t>
        </is>
      </c>
      <c r="J49" s="14" t="inlineStr">
        <is>
          <t>Active</t>
        </is>
      </c>
    </row>
    <row r="50" ht="15" customHeight="1" s="11">
      <c r="A50" s="13" t="inlineStr">
        <is>
          <t>COW049</t>
        </is>
      </c>
      <c r="B50" s="13" t="inlineStr">
        <is>
          <t>RFID100049</t>
        </is>
      </c>
      <c r="C50" s="13" t="inlineStr">
        <is>
          <t>Cow-049</t>
        </is>
      </c>
      <c r="D50" s="13" t="inlineStr">
        <is>
          <t>Jersey</t>
        </is>
      </c>
      <c r="E50" s="13" t="n">
        <v>4.4</v>
      </c>
      <c r="F50" s="13" t="n">
        <v>600.1</v>
      </c>
      <c r="G50" s="13" t="inlineStr">
        <is>
          <t>C1</t>
        </is>
      </c>
      <c r="H50" s="13" t="inlineStr">
        <is>
          <t>2022-09-10</t>
        </is>
      </c>
      <c r="I50" s="13" t="inlineStr">
        <is>
          <t>Healthy</t>
        </is>
      </c>
      <c r="J50" s="13" t="inlineStr">
        <is>
          <t>Active</t>
        </is>
      </c>
    </row>
    <row r="51" ht="15" customHeight="1" s="11">
      <c r="A51" s="14" t="inlineStr">
        <is>
          <t>COW050</t>
        </is>
      </c>
      <c r="B51" s="14" t="inlineStr">
        <is>
          <t>RFID100050</t>
        </is>
      </c>
      <c r="C51" s="14" t="inlineStr">
        <is>
          <t>Cow-050</t>
        </is>
      </c>
      <c r="D51" s="14" t="inlineStr">
        <is>
          <t>Holstein</t>
        </is>
      </c>
      <c r="E51" s="14" t="n">
        <v>5.7</v>
      </c>
      <c r="F51" s="14" t="n">
        <v>422.5</v>
      </c>
      <c r="G51" s="14" t="inlineStr">
        <is>
          <t>C1</t>
        </is>
      </c>
      <c r="H51" s="14" t="inlineStr">
        <is>
          <t>2023-08-02</t>
        </is>
      </c>
      <c r="I51" s="14" t="inlineStr">
        <is>
          <t>Healthy</t>
        </is>
      </c>
      <c r="J51" s="14" t="inlineStr">
        <is>
          <t>Active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K60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0" customWidth="1" style="10" min="1" max="2"/>
    <col width="14" customWidth="1" style="10" min="3" max="3"/>
    <col width="12" customWidth="1" style="10" min="4" max="4"/>
    <col width="8" customWidth="1" style="10" min="5" max="5"/>
    <col width="16" customWidth="1" style="10" min="6" max="6"/>
    <col width="18" customWidth="1" style="10" min="7" max="7"/>
    <col width="16" customWidth="1" style="10" min="8" max="8"/>
    <col width="18" customWidth="1" style="10" min="9" max="9"/>
    <col width="13" customWidth="1" style="10" min="10" max="10"/>
    <col width="14" customWidth="1" style="10" min="11" max="11"/>
  </cols>
  <sheetData>
    <row r="1" ht="34.5" customHeight="1" s="11">
      <c r="A1" s="12" t="inlineStr">
        <is>
          <t>Record_ID</t>
        </is>
      </c>
      <c r="B1" s="12" t="inlineStr">
        <is>
          <t>Cow_ID</t>
        </is>
      </c>
      <c r="C1" s="12" t="inlineStr">
        <is>
          <t>RFID_Tag</t>
        </is>
      </c>
      <c r="D1" s="12" t="inlineStr">
        <is>
          <t>Date</t>
        </is>
      </c>
      <c r="E1" s="12" t="inlineStr">
        <is>
          <t>Time</t>
        </is>
      </c>
      <c r="F1" s="12" t="inlineStr">
        <is>
          <t>Morning_Feed_kg</t>
        </is>
      </c>
      <c r="G1" s="12" t="inlineStr">
        <is>
          <t>Afternoon_Feed_kg</t>
        </is>
      </c>
      <c r="H1" s="12" t="inlineStr">
        <is>
          <t>Evening_Feed_kg</t>
        </is>
      </c>
      <c r="I1" s="12" t="inlineStr">
        <is>
          <t>Total_Daily_Intake_kg</t>
        </is>
      </c>
      <c r="J1" s="12" t="inlineStr">
        <is>
          <t>Deviation_%</t>
        </is>
      </c>
      <c r="K1" s="12" t="inlineStr">
        <is>
          <t>Notes</t>
        </is>
      </c>
    </row>
    <row r="2" ht="15" customHeight="1" s="11">
      <c r="A2" s="13" t="n">
        <v>1</v>
      </c>
      <c r="B2" s="13" t="inlineStr">
        <is>
          <t>COW001</t>
        </is>
      </c>
      <c r="C2" s="13" t="inlineStr">
        <is>
          <t>RFID100001</t>
        </is>
      </c>
      <c r="D2" s="13" t="inlineStr">
        <is>
          <t>2024-01-01</t>
        </is>
      </c>
      <c r="E2" s="13" t="inlineStr">
        <is>
          <t>08:00</t>
        </is>
      </c>
      <c r="F2" s="13" t="n">
        <v>8.640000000000001</v>
      </c>
      <c r="G2" s="13" t="n">
        <v>9.210000000000001</v>
      </c>
      <c r="H2" s="13" t="n">
        <v>8.17</v>
      </c>
      <c r="I2" s="15">
        <f>F2+G2+H2</f>
        <v/>
      </c>
      <c r="J2" s="15">
        <f>ROUND((I2-27.3)/27.3*100,2)</f>
        <v/>
      </c>
      <c r="K2" s="15" t="inlineStr">
        <is>
          <t>Normal</t>
        </is>
      </c>
    </row>
    <row r="3" ht="15" customHeight="1" s="11">
      <c r="A3" s="14" t="n">
        <v>2</v>
      </c>
      <c r="B3" s="14" t="inlineStr">
        <is>
          <t>COW001</t>
        </is>
      </c>
      <c r="C3" s="14" t="inlineStr">
        <is>
          <t>RFID100001</t>
        </is>
      </c>
      <c r="D3" s="14" t="inlineStr">
        <is>
          <t>2024-01-02</t>
        </is>
      </c>
      <c r="E3" s="14" t="inlineStr">
        <is>
          <t>08:00</t>
        </is>
      </c>
      <c r="F3" s="14" t="n">
        <v>9.050000000000001</v>
      </c>
      <c r="G3" s="14" t="n">
        <v>9.109999999999999</v>
      </c>
      <c r="H3" s="14" t="n">
        <v>8.300000000000001</v>
      </c>
      <c r="I3" s="15">
        <f>F3+G3+H3</f>
        <v/>
      </c>
      <c r="J3" s="15">
        <f>ROUND((I3-27.3)/27.3*100,2)</f>
        <v/>
      </c>
      <c r="K3" s="15" t="inlineStr">
        <is>
          <t>Normal</t>
        </is>
      </c>
    </row>
    <row r="4" ht="15" customHeight="1" s="11">
      <c r="A4" s="13" t="n">
        <v>3</v>
      </c>
      <c r="B4" s="13" t="inlineStr">
        <is>
          <t>COW001</t>
        </is>
      </c>
      <c r="C4" s="13" t="inlineStr">
        <is>
          <t>RFID100001</t>
        </is>
      </c>
      <c r="D4" s="13" t="inlineStr">
        <is>
          <t>2024-01-03</t>
        </is>
      </c>
      <c r="E4" s="13" t="inlineStr">
        <is>
          <t>08:00</t>
        </is>
      </c>
      <c r="F4" s="13" t="n">
        <v>8.880000000000001</v>
      </c>
      <c r="G4" s="13" t="n">
        <v>9.289999999999999</v>
      </c>
      <c r="H4" s="13" t="n">
        <v>7.8</v>
      </c>
      <c r="I4" s="15">
        <f>F4+G4+H4</f>
        <v/>
      </c>
      <c r="J4" s="15">
        <f>ROUND((I4-27.3)/27.3*100,2)</f>
        <v/>
      </c>
      <c r="K4" s="15" t="inlineStr">
        <is>
          <t>Normal</t>
        </is>
      </c>
    </row>
    <row r="5" ht="15" customHeight="1" s="11">
      <c r="A5" s="14" t="n">
        <v>4</v>
      </c>
      <c r="B5" s="14" t="inlineStr">
        <is>
          <t>COW001</t>
        </is>
      </c>
      <c r="C5" s="14" t="inlineStr">
        <is>
          <t>RFID100001</t>
        </is>
      </c>
      <c r="D5" s="14" t="inlineStr">
        <is>
          <t>2024-01-04</t>
        </is>
      </c>
      <c r="E5" s="14" t="inlineStr">
        <is>
          <t>08:00</t>
        </is>
      </c>
      <c r="F5" s="14" t="n">
        <v>9.19</v>
      </c>
      <c r="G5" s="14" t="n">
        <v>9.82</v>
      </c>
      <c r="H5" s="14" t="n">
        <v>9.82</v>
      </c>
      <c r="I5" s="15">
        <f>F5+G5+H5</f>
        <v/>
      </c>
      <c r="J5" s="15">
        <f>ROUND((I5-27.3)/27.3*100,2)</f>
        <v/>
      </c>
      <c r="K5" s="15" t="inlineStr">
        <is>
          <t>Normal</t>
        </is>
      </c>
    </row>
    <row r="6" ht="15" customHeight="1" s="11">
      <c r="A6" s="13" t="n">
        <v>5</v>
      </c>
      <c r="B6" s="13" t="inlineStr">
        <is>
          <t>COW001</t>
        </is>
      </c>
      <c r="C6" s="13" t="inlineStr">
        <is>
          <t>RFID100001</t>
        </is>
      </c>
      <c r="D6" s="13" t="inlineStr">
        <is>
          <t>2024-01-05</t>
        </is>
      </c>
      <c r="E6" s="13" t="inlineStr">
        <is>
          <t>08:00</t>
        </is>
      </c>
      <c r="F6" s="13" t="n">
        <v>8.35</v>
      </c>
      <c r="G6" s="13" t="n">
        <v>8.109999999999999</v>
      </c>
      <c r="H6" s="13" t="n">
        <v>8.220000000000001</v>
      </c>
      <c r="I6" s="15">
        <f>F6+G6+H6</f>
        <v/>
      </c>
      <c r="J6" s="15">
        <f>ROUND((I6-27.3)/27.3*100,2)</f>
        <v/>
      </c>
      <c r="K6" s="15" t="inlineStr">
        <is>
          <t>Low intake</t>
        </is>
      </c>
    </row>
    <row r="7" ht="15" customHeight="1" s="11">
      <c r="A7" s="14" t="n">
        <v>6</v>
      </c>
      <c r="B7" s="14" t="inlineStr">
        <is>
          <t>COW001</t>
        </is>
      </c>
      <c r="C7" s="14" t="inlineStr">
        <is>
          <t>RFID100001</t>
        </is>
      </c>
      <c r="D7" s="14" t="inlineStr">
        <is>
          <t>2024-01-06</t>
        </is>
      </c>
      <c r="E7" s="14" t="inlineStr">
        <is>
          <t>08:00</t>
        </is>
      </c>
      <c r="F7" s="14" t="n">
        <v>10.23</v>
      </c>
      <c r="G7" s="14" t="n">
        <v>9.57</v>
      </c>
      <c r="H7" s="14" t="n">
        <v>9.56</v>
      </c>
      <c r="I7" s="15">
        <f>F7+G7+H7</f>
        <v/>
      </c>
      <c r="J7" s="15">
        <f>ROUND((I7-27.3)/27.3*100,2)</f>
        <v/>
      </c>
      <c r="K7" s="15" t="inlineStr">
        <is>
          <t>High intake</t>
        </is>
      </c>
    </row>
    <row r="8" ht="15" customHeight="1" s="11">
      <c r="A8" s="13" t="n">
        <v>7</v>
      </c>
      <c r="B8" s="13" t="inlineStr">
        <is>
          <t>COW001</t>
        </is>
      </c>
      <c r="C8" s="13" t="inlineStr">
        <is>
          <t>RFID100001</t>
        </is>
      </c>
      <c r="D8" s="13" t="inlineStr">
        <is>
          <t>2024-01-07</t>
        </is>
      </c>
      <c r="E8" s="13" t="inlineStr">
        <is>
          <t>08:00</t>
        </is>
      </c>
      <c r="F8" s="13" t="n">
        <v>9</v>
      </c>
      <c r="G8" s="13" t="n">
        <v>7.99</v>
      </c>
      <c r="H8" s="13" t="n">
        <v>9.460000000000001</v>
      </c>
      <c r="I8" s="15">
        <f>F8+G8+H8</f>
        <v/>
      </c>
      <c r="J8" s="15">
        <f>ROUND((I8-27.3)/27.3*100,2)</f>
        <v/>
      </c>
      <c r="K8" s="15" t="inlineStr">
        <is>
          <t>Normal</t>
        </is>
      </c>
    </row>
    <row r="9" ht="15" customHeight="1" s="11">
      <c r="A9" s="14" t="n">
        <v>8</v>
      </c>
      <c r="B9" s="14" t="inlineStr">
        <is>
          <t>COW001</t>
        </is>
      </c>
      <c r="C9" s="14" t="inlineStr">
        <is>
          <t>RFID100001</t>
        </is>
      </c>
      <c r="D9" s="14" t="inlineStr">
        <is>
          <t>2024-01-08</t>
        </is>
      </c>
      <c r="E9" s="14" t="inlineStr">
        <is>
          <t>08:00</t>
        </is>
      </c>
      <c r="F9" s="14" t="n">
        <v>9.73</v>
      </c>
      <c r="G9" s="14" t="n">
        <v>8.98</v>
      </c>
      <c r="H9" s="14" t="n">
        <v>9.800000000000001</v>
      </c>
      <c r="I9" s="15">
        <f>F9+G9+H9</f>
        <v/>
      </c>
      <c r="J9" s="15">
        <f>ROUND((I9-27.3)/27.3*100,2)</f>
        <v/>
      </c>
      <c r="K9" s="15" t="inlineStr">
        <is>
          <t>Normal</t>
        </is>
      </c>
    </row>
    <row r="10" ht="15" customHeight="1" s="11">
      <c r="A10" s="13" t="n">
        <v>9</v>
      </c>
      <c r="B10" s="13" t="inlineStr">
        <is>
          <t>COW001</t>
        </is>
      </c>
      <c r="C10" s="13" t="inlineStr">
        <is>
          <t>RFID100001</t>
        </is>
      </c>
      <c r="D10" s="13" t="inlineStr">
        <is>
          <t>2024-01-09</t>
        </is>
      </c>
      <c r="E10" s="13" t="inlineStr">
        <is>
          <t>08:00</t>
        </is>
      </c>
      <c r="F10" s="13" t="n">
        <v>9.619999999999999</v>
      </c>
      <c r="G10" s="13" t="n">
        <v>7.66</v>
      </c>
      <c r="H10" s="13" t="n">
        <v>9.43</v>
      </c>
      <c r="I10" s="15">
        <f>F10+G10+H10</f>
        <v/>
      </c>
      <c r="J10" s="15">
        <f>ROUND((I10-27.3)/27.3*100,2)</f>
        <v/>
      </c>
      <c r="K10" s="15" t="inlineStr">
        <is>
          <t>Normal</t>
        </is>
      </c>
    </row>
    <row r="11" ht="15" customHeight="1" s="11">
      <c r="A11" s="14" t="n">
        <v>10</v>
      </c>
      <c r="B11" s="14" t="inlineStr">
        <is>
          <t>COW001</t>
        </is>
      </c>
      <c r="C11" s="14" t="inlineStr">
        <is>
          <t>RFID100001</t>
        </is>
      </c>
      <c r="D11" s="14" t="inlineStr">
        <is>
          <t>2024-01-10</t>
        </is>
      </c>
      <c r="E11" s="14" t="inlineStr">
        <is>
          <t>08:00</t>
        </is>
      </c>
      <c r="F11" s="14" t="n">
        <v>8.84</v>
      </c>
      <c r="G11" s="14" t="n">
        <v>9.09</v>
      </c>
      <c r="H11" s="14" t="n">
        <v>9.69</v>
      </c>
      <c r="I11" s="15">
        <f>F11+G11+H11</f>
        <v/>
      </c>
      <c r="J11" s="15">
        <f>ROUND((I11-27.3)/27.3*100,2)</f>
        <v/>
      </c>
      <c r="K11" s="15" t="inlineStr">
        <is>
          <t>Normal</t>
        </is>
      </c>
    </row>
    <row r="12" ht="15" customHeight="1" s="11">
      <c r="A12" s="13" t="n">
        <v>11</v>
      </c>
      <c r="B12" s="13" t="inlineStr">
        <is>
          <t>COW001</t>
        </is>
      </c>
      <c r="C12" s="13" t="inlineStr">
        <is>
          <t>RFID100001</t>
        </is>
      </c>
      <c r="D12" s="13" t="inlineStr">
        <is>
          <t>2024-01-11</t>
        </is>
      </c>
      <c r="E12" s="13" t="inlineStr">
        <is>
          <t>08:00</t>
        </is>
      </c>
      <c r="F12" s="13" t="n">
        <v>8.48</v>
      </c>
      <c r="G12" s="13" t="n">
        <v>7.9</v>
      </c>
      <c r="H12" s="13" t="n">
        <v>7.88</v>
      </c>
      <c r="I12" s="15">
        <f>F12+G12+H12</f>
        <v/>
      </c>
      <c r="J12" s="15">
        <f>ROUND((I12-27.3)/27.3*100,2)</f>
        <v/>
      </c>
      <c r="K12" s="15" t="inlineStr">
        <is>
          <t>Low intake</t>
        </is>
      </c>
    </row>
    <row r="13" ht="15" customHeight="1" s="11">
      <c r="A13" s="14" t="n">
        <v>12</v>
      </c>
      <c r="B13" s="14" t="inlineStr">
        <is>
          <t>COW001</t>
        </is>
      </c>
      <c r="C13" s="14" t="inlineStr">
        <is>
          <t>RFID100001</t>
        </is>
      </c>
      <c r="D13" s="14" t="inlineStr">
        <is>
          <t>2024-01-12</t>
        </is>
      </c>
      <c r="E13" s="14" t="inlineStr">
        <is>
          <t>08:00</t>
        </is>
      </c>
      <c r="F13" s="14" t="n">
        <v>9.4</v>
      </c>
      <c r="G13" s="14" t="n">
        <v>8.24</v>
      </c>
      <c r="H13" s="14" t="n">
        <v>8.960000000000001</v>
      </c>
      <c r="I13" s="15">
        <f>F13+G13+H13</f>
        <v/>
      </c>
      <c r="J13" s="15">
        <f>ROUND((I13-27.3)/27.3*100,2)</f>
        <v/>
      </c>
      <c r="K13" s="15" t="inlineStr">
        <is>
          <t>Normal</t>
        </is>
      </c>
    </row>
    <row r="14" ht="15" customHeight="1" s="11">
      <c r="A14" s="13" t="n">
        <v>13</v>
      </c>
      <c r="B14" s="13" t="inlineStr">
        <is>
          <t>COW001</t>
        </is>
      </c>
      <c r="C14" s="13" t="inlineStr">
        <is>
          <t>RFID100001</t>
        </is>
      </c>
      <c r="D14" s="13" t="inlineStr">
        <is>
          <t>2024-01-13</t>
        </is>
      </c>
      <c r="E14" s="13" t="inlineStr">
        <is>
          <t>08:00</t>
        </is>
      </c>
      <c r="F14" s="13" t="n">
        <v>9.76</v>
      </c>
      <c r="G14" s="13" t="n">
        <v>8.09</v>
      </c>
      <c r="H14" s="13" t="n">
        <v>9.029999999999999</v>
      </c>
      <c r="I14" s="15">
        <f>F14+G14+H14</f>
        <v/>
      </c>
      <c r="J14" s="15">
        <f>ROUND((I14-27.3)/27.3*100,2)</f>
        <v/>
      </c>
      <c r="K14" s="15" t="inlineStr">
        <is>
          <t>Normal</t>
        </is>
      </c>
    </row>
    <row r="15" ht="15" customHeight="1" s="11">
      <c r="A15" s="14" t="n">
        <v>14</v>
      </c>
      <c r="B15" s="14" t="inlineStr">
        <is>
          <t>COW001</t>
        </is>
      </c>
      <c r="C15" s="14" t="inlineStr">
        <is>
          <t>RFID100001</t>
        </is>
      </c>
      <c r="D15" s="14" t="inlineStr">
        <is>
          <t>2024-01-14</t>
        </is>
      </c>
      <c r="E15" s="14" t="inlineStr">
        <is>
          <t>08:00</t>
        </is>
      </c>
      <c r="F15" s="14" t="n">
        <v>8.77</v>
      </c>
      <c r="G15" s="14" t="n">
        <v>8.710000000000001</v>
      </c>
      <c r="H15" s="14" t="n">
        <v>9.619999999999999</v>
      </c>
      <c r="I15" s="15">
        <f>F15+G15+H15</f>
        <v/>
      </c>
      <c r="J15" s="15">
        <f>ROUND((I15-27.3)/27.3*100,2)</f>
        <v/>
      </c>
      <c r="K15" s="15" t="inlineStr">
        <is>
          <t>Normal</t>
        </is>
      </c>
    </row>
    <row r="16" ht="15" customHeight="1" s="11">
      <c r="A16" s="13" t="n">
        <v>15</v>
      </c>
      <c r="B16" s="13" t="inlineStr">
        <is>
          <t>COW001</t>
        </is>
      </c>
      <c r="C16" s="13" t="inlineStr">
        <is>
          <t>RFID100001</t>
        </is>
      </c>
      <c r="D16" s="13" t="inlineStr">
        <is>
          <t>2024-01-15</t>
        </is>
      </c>
      <c r="E16" s="13" t="inlineStr">
        <is>
          <t>08:00</t>
        </is>
      </c>
      <c r="F16" s="13" t="n">
        <v>10.04</v>
      </c>
      <c r="G16" s="13" t="n">
        <v>7.85</v>
      </c>
      <c r="H16" s="13" t="n">
        <v>8.57</v>
      </c>
      <c r="I16" s="15">
        <f>F16+G16+H16</f>
        <v/>
      </c>
      <c r="J16" s="15">
        <f>ROUND((I16-27.3)/27.3*100,2)</f>
        <v/>
      </c>
      <c r="K16" s="15" t="inlineStr">
        <is>
          <t>Normal</t>
        </is>
      </c>
    </row>
    <row r="17" ht="15" customHeight="1" s="11">
      <c r="A17" s="14" t="n">
        <v>16</v>
      </c>
      <c r="B17" s="14" t="inlineStr">
        <is>
          <t>COW001</t>
        </is>
      </c>
      <c r="C17" s="14" t="inlineStr">
        <is>
          <t>RFID100001</t>
        </is>
      </c>
      <c r="D17" s="14" t="inlineStr">
        <is>
          <t>2024-01-16</t>
        </is>
      </c>
      <c r="E17" s="14" t="inlineStr">
        <is>
          <t>08:00</t>
        </is>
      </c>
      <c r="F17" s="14" t="n">
        <v>8.789999999999999</v>
      </c>
      <c r="G17" s="14" t="n">
        <v>7.65</v>
      </c>
      <c r="H17" s="14" t="n">
        <v>9.33</v>
      </c>
      <c r="I17" s="15">
        <f>F17+G17+H17</f>
        <v/>
      </c>
      <c r="J17" s="15">
        <f>ROUND((I17-27.3)/27.3*100,2)</f>
        <v/>
      </c>
      <c r="K17" s="15" t="inlineStr">
        <is>
          <t>Normal</t>
        </is>
      </c>
    </row>
    <row r="18" ht="15" customHeight="1" s="11">
      <c r="A18" s="13" t="n">
        <v>17</v>
      </c>
      <c r="B18" s="13" t="inlineStr">
        <is>
          <t>COW001</t>
        </is>
      </c>
      <c r="C18" s="13" t="inlineStr">
        <is>
          <t>RFID100001</t>
        </is>
      </c>
      <c r="D18" s="13" t="inlineStr">
        <is>
          <t>2024-01-17</t>
        </is>
      </c>
      <c r="E18" s="13" t="inlineStr">
        <is>
          <t>08:00</t>
        </is>
      </c>
      <c r="F18" s="13" t="n">
        <v>9.58</v>
      </c>
      <c r="G18" s="13" t="n">
        <v>8.220000000000001</v>
      </c>
      <c r="H18" s="13" t="n">
        <v>9.26</v>
      </c>
      <c r="I18" s="15">
        <f>F18+G18+H18</f>
        <v/>
      </c>
      <c r="J18" s="15">
        <f>ROUND((I18-27.3)/27.3*100,2)</f>
        <v/>
      </c>
      <c r="K18" s="15" t="inlineStr">
        <is>
          <t>Normal</t>
        </is>
      </c>
    </row>
    <row r="19" ht="15" customHeight="1" s="11">
      <c r="A19" s="14" t="n">
        <v>18</v>
      </c>
      <c r="B19" s="14" t="inlineStr">
        <is>
          <t>COW001</t>
        </is>
      </c>
      <c r="C19" s="14" t="inlineStr">
        <is>
          <t>RFID100001</t>
        </is>
      </c>
      <c r="D19" s="14" t="inlineStr">
        <is>
          <t>2024-01-18</t>
        </is>
      </c>
      <c r="E19" s="14" t="inlineStr">
        <is>
          <t>08:00</t>
        </is>
      </c>
      <c r="F19" s="14" t="n">
        <v>9.390000000000001</v>
      </c>
      <c r="G19" s="14" t="n">
        <v>8.58</v>
      </c>
      <c r="H19" s="14" t="n">
        <v>7.67</v>
      </c>
      <c r="I19" s="15">
        <f>F19+G19+H19</f>
        <v/>
      </c>
      <c r="J19" s="15">
        <f>ROUND((I19-27.3)/27.3*100,2)</f>
        <v/>
      </c>
      <c r="K19" s="15" t="inlineStr">
        <is>
          <t>Normal</t>
        </is>
      </c>
    </row>
    <row r="20" ht="15" customHeight="1" s="11">
      <c r="A20" s="13" t="n">
        <v>19</v>
      </c>
      <c r="B20" s="13" t="inlineStr">
        <is>
          <t>COW001</t>
        </is>
      </c>
      <c r="C20" s="13" t="inlineStr">
        <is>
          <t>RFID100001</t>
        </is>
      </c>
      <c r="D20" s="13" t="inlineStr">
        <is>
          <t>2024-01-19</t>
        </is>
      </c>
      <c r="E20" s="13" t="inlineStr">
        <is>
          <t>08:00</t>
        </is>
      </c>
      <c r="F20" s="13" t="n">
        <v>8.35</v>
      </c>
      <c r="G20" s="13" t="n">
        <v>9.57</v>
      </c>
      <c r="H20" s="13" t="n">
        <v>9.619999999999999</v>
      </c>
      <c r="I20" s="15">
        <f>F20+G20+H20</f>
        <v/>
      </c>
      <c r="J20" s="15">
        <f>ROUND((I20-27.3)/27.3*100,2)</f>
        <v/>
      </c>
      <c r="K20" s="15" t="inlineStr">
        <is>
          <t>Normal</t>
        </is>
      </c>
    </row>
    <row r="21" ht="15" customHeight="1" s="11">
      <c r="A21" s="14" t="n">
        <v>20</v>
      </c>
      <c r="B21" s="14" t="inlineStr">
        <is>
          <t>COW001</t>
        </is>
      </c>
      <c r="C21" s="14" t="inlineStr">
        <is>
          <t>RFID100001</t>
        </is>
      </c>
      <c r="D21" s="14" t="inlineStr">
        <is>
          <t>2024-01-20</t>
        </is>
      </c>
      <c r="E21" s="14" t="inlineStr">
        <is>
          <t>08:00</t>
        </is>
      </c>
      <c r="F21" s="14" t="n">
        <v>9.380000000000001</v>
      </c>
      <c r="G21" s="14" t="n">
        <v>9.470000000000001</v>
      </c>
      <c r="H21" s="14" t="n">
        <v>8.92</v>
      </c>
      <c r="I21" s="15">
        <f>F21+G21+H21</f>
        <v/>
      </c>
      <c r="J21" s="15">
        <f>ROUND((I21-27.3)/27.3*100,2)</f>
        <v/>
      </c>
      <c r="K21" s="15" t="inlineStr">
        <is>
          <t>Normal</t>
        </is>
      </c>
    </row>
    <row r="22" ht="15" customHeight="1" s="11">
      <c r="A22" s="13" t="n">
        <v>21</v>
      </c>
      <c r="B22" s="13" t="inlineStr">
        <is>
          <t>COW001</t>
        </is>
      </c>
      <c r="C22" s="13" t="inlineStr">
        <is>
          <t>RFID100001</t>
        </is>
      </c>
      <c r="D22" s="13" t="inlineStr">
        <is>
          <t>2024-01-21</t>
        </is>
      </c>
      <c r="E22" s="13" t="inlineStr">
        <is>
          <t>08:00</t>
        </is>
      </c>
      <c r="F22" s="13" t="n">
        <v>8.51</v>
      </c>
      <c r="G22" s="13" t="n">
        <v>7.92</v>
      </c>
      <c r="H22" s="13" t="n">
        <v>8.32</v>
      </c>
      <c r="I22" s="15">
        <f>F22+G22+H22</f>
        <v/>
      </c>
      <c r="J22" s="15">
        <f>ROUND((I22-27.3)/27.3*100,2)</f>
        <v/>
      </c>
      <c r="K22" s="15" t="inlineStr">
        <is>
          <t>Low intake</t>
        </is>
      </c>
    </row>
    <row r="23" ht="15" customHeight="1" s="11">
      <c r="A23" s="14" t="n">
        <v>22</v>
      </c>
      <c r="B23" s="14" t="inlineStr">
        <is>
          <t>COW001</t>
        </is>
      </c>
      <c r="C23" s="14" t="inlineStr">
        <is>
          <t>RFID100001</t>
        </is>
      </c>
      <c r="D23" s="14" t="inlineStr">
        <is>
          <t>2024-01-22</t>
        </is>
      </c>
      <c r="E23" s="14" t="inlineStr">
        <is>
          <t>08:00</t>
        </is>
      </c>
      <c r="F23" s="14" t="n">
        <v>10.15</v>
      </c>
      <c r="G23" s="14" t="n">
        <v>9.380000000000001</v>
      </c>
      <c r="H23" s="14" t="n">
        <v>9.52</v>
      </c>
      <c r="I23" s="15">
        <f>F23+G23+H23</f>
        <v/>
      </c>
      <c r="J23" s="15">
        <f>ROUND((I23-27.3)/27.3*100,2)</f>
        <v/>
      </c>
      <c r="K23" s="15" t="inlineStr">
        <is>
          <t>Normal</t>
        </is>
      </c>
    </row>
    <row r="24" ht="15" customHeight="1" s="11">
      <c r="A24" s="13" t="n">
        <v>23</v>
      </c>
      <c r="B24" s="13" t="inlineStr">
        <is>
          <t>COW001</t>
        </is>
      </c>
      <c r="C24" s="13" t="inlineStr">
        <is>
          <t>RFID100001</t>
        </is>
      </c>
      <c r="D24" s="13" t="inlineStr">
        <is>
          <t>2024-01-23</t>
        </is>
      </c>
      <c r="E24" s="13" t="inlineStr">
        <is>
          <t>08:00</t>
        </is>
      </c>
      <c r="F24" s="13" t="n">
        <v>10.15</v>
      </c>
      <c r="G24" s="13" t="n">
        <v>8.1</v>
      </c>
      <c r="H24" s="13" t="n">
        <v>8.19</v>
      </c>
      <c r="I24" s="15">
        <f>F24+G24+H24</f>
        <v/>
      </c>
      <c r="J24" s="15">
        <f>ROUND((I24-27.3)/27.3*100,2)</f>
        <v/>
      </c>
      <c r="K24" s="15" t="inlineStr">
        <is>
          <t>Normal</t>
        </is>
      </c>
    </row>
    <row r="25" ht="15" customHeight="1" s="11">
      <c r="A25" s="14" t="n">
        <v>24</v>
      </c>
      <c r="B25" s="14" t="inlineStr">
        <is>
          <t>COW001</t>
        </is>
      </c>
      <c r="C25" s="14" t="inlineStr">
        <is>
          <t>RFID100001</t>
        </is>
      </c>
      <c r="D25" s="14" t="inlineStr">
        <is>
          <t>2024-01-24</t>
        </is>
      </c>
      <c r="E25" s="14" t="inlineStr">
        <is>
          <t>08:00</t>
        </is>
      </c>
      <c r="F25" s="14" t="n">
        <v>8.41</v>
      </c>
      <c r="G25" s="14" t="n">
        <v>9.35</v>
      </c>
      <c r="H25" s="14" t="n">
        <v>9.57</v>
      </c>
      <c r="I25" s="15">
        <f>F25+G25+H25</f>
        <v/>
      </c>
      <c r="J25" s="15">
        <f>ROUND((I25-27.3)/27.3*100,2)</f>
        <v/>
      </c>
      <c r="K25" s="15" t="inlineStr">
        <is>
          <t>Normal</t>
        </is>
      </c>
    </row>
    <row r="26" ht="15" customHeight="1" s="11">
      <c r="A26" s="13" t="n">
        <v>25</v>
      </c>
      <c r="B26" s="13" t="inlineStr">
        <is>
          <t>COW001</t>
        </is>
      </c>
      <c r="C26" s="13" t="inlineStr">
        <is>
          <t>RFID100001</t>
        </is>
      </c>
      <c r="D26" s="13" t="inlineStr">
        <is>
          <t>2024-01-25</t>
        </is>
      </c>
      <c r="E26" s="13" t="inlineStr">
        <is>
          <t>08:00</t>
        </is>
      </c>
      <c r="F26" s="13" t="n">
        <v>9.08</v>
      </c>
      <c r="G26" s="13" t="n">
        <v>9</v>
      </c>
      <c r="H26" s="13" t="n">
        <v>7.98</v>
      </c>
      <c r="I26" s="15">
        <f>F26+G26+H26</f>
        <v/>
      </c>
      <c r="J26" s="15">
        <f>ROUND((I26-27.3)/27.3*100,2)</f>
        <v/>
      </c>
      <c r="K26" s="15" t="inlineStr">
        <is>
          <t>Normal</t>
        </is>
      </c>
    </row>
    <row r="27" ht="15" customHeight="1" s="11">
      <c r="A27" s="14" t="n">
        <v>26</v>
      </c>
      <c r="B27" s="14" t="inlineStr">
        <is>
          <t>COW001</t>
        </is>
      </c>
      <c r="C27" s="14" t="inlineStr">
        <is>
          <t>RFID100001</t>
        </is>
      </c>
      <c r="D27" s="14" t="inlineStr">
        <is>
          <t>2024-01-26</t>
        </is>
      </c>
      <c r="E27" s="14" t="inlineStr">
        <is>
          <t>08:00</t>
        </is>
      </c>
      <c r="F27" s="14" t="n">
        <v>10.22</v>
      </c>
      <c r="G27" s="14" t="n">
        <v>9.529999999999999</v>
      </c>
      <c r="H27" s="14" t="n">
        <v>9.779999999999999</v>
      </c>
      <c r="I27" s="15">
        <f>F27+G27+H27</f>
        <v/>
      </c>
      <c r="J27" s="15">
        <f>ROUND((I27-27.3)/27.3*100,2)</f>
        <v/>
      </c>
      <c r="K27" s="15" t="inlineStr">
        <is>
          <t>High intake</t>
        </is>
      </c>
    </row>
    <row r="28" ht="15" customHeight="1" s="11">
      <c r="A28" s="13" t="n">
        <v>27</v>
      </c>
      <c r="B28" s="13" t="inlineStr">
        <is>
          <t>COW001</t>
        </is>
      </c>
      <c r="C28" s="13" t="inlineStr">
        <is>
          <t>RFID100001</t>
        </is>
      </c>
      <c r="D28" s="13" t="inlineStr">
        <is>
          <t>2024-01-27</t>
        </is>
      </c>
      <c r="E28" s="13" t="inlineStr">
        <is>
          <t>08:00</t>
        </is>
      </c>
      <c r="F28" s="13" t="n">
        <v>9.960000000000001</v>
      </c>
      <c r="G28" s="13" t="n">
        <v>9.57</v>
      </c>
      <c r="H28" s="13" t="n">
        <v>7.7</v>
      </c>
      <c r="I28" s="15">
        <f>F28+G28+H28</f>
        <v/>
      </c>
      <c r="J28" s="15">
        <f>ROUND((I28-27.3)/27.3*100,2)</f>
        <v/>
      </c>
      <c r="K28" s="15" t="inlineStr">
        <is>
          <t>Normal</t>
        </is>
      </c>
    </row>
    <row r="29" ht="15" customHeight="1" s="11">
      <c r="A29" s="14" t="n">
        <v>28</v>
      </c>
      <c r="B29" s="14" t="inlineStr">
        <is>
          <t>COW001</t>
        </is>
      </c>
      <c r="C29" s="14" t="inlineStr">
        <is>
          <t>RFID100001</t>
        </is>
      </c>
      <c r="D29" s="14" t="inlineStr">
        <is>
          <t>2024-01-28</t>
        </is>
      </c>
      <c r="E29" s="14" t="inlineStr">
        <is>
          <t>08:00</t>
        </is>
      </c>
      <c r="F29" s="14" t="n">
        <v>9.800000000000001</v>
      </c>
      <c r="G29" s="14" t="n">
        <v>8.369999999999999</v>
      </c>
      <c r="H29" s="14" t="n">
        <v>9.68</v>
      </c>
      <c r="I29" s="15">
        <f>F29+G29+H29</f>
        <v/>
      </c>
      <c r="J29" s="15">
        <f>ROUND((I29-27.3)/27.3*100,2)</f>
        <v/>
      </c>
      <c r="K29" s="15" t="inlineStr">
        <is>
          <t>Normal</t>
        </is>
      </c>
    </row>
    <row r="30" ht="15" customHeight="1" s="11">
      <c r="A30" s="13" t="n">
        <v>29</v>
      </c>
      <c r="B30" s="13" t="inlineStr">
        <is>
          <t>COW001</t>
        </is>
      </c>
      <c r="C30" s="13" t="inlineStr">
        <is>
          <t>RFID100001</t>
        </is>
      </c>
      <c r="D30" s="13" t="inlineStr">
        <is>
          <t>2024-01-29</t>
        </is>
      </c>
      <c r="E30" s="13" t="inlineStr">
        <is>
          <t>08:00</t>
        </is>
      </c>
      <c r="F30" s="13" t="n">
        <v>9.94</v>
      </c>
      <c r="G30" s="13" t="n">
        <v>9.529999999999999</v>
      </c>
      <c r="H30" s="13" t="n">
        <v>9.41</v>
      </c>
      <c r="I30" s="15">
        <f>F30+G30+H30</f>
        <v/>
      </c>
      <c r="J30" s="15">
        <f>ROUND((I30-27.3)/27.3*100,2)</f>
        <v/>
      </c>
      <c r="K30" s="15" t="inlineStr">
        <is>
          <t>Normal</t>
        </is>
      </c>
    </row>
    <row r="31" ht="15" customHeight="1" s="11">
      <c r="A31" s="14" t="n">
        <v>30</v>
      </c>
      <c r="B31" s="14" t="inlineStr">
        <is>
          <t>COW001</t>
        </is>
      </c>
      <c r="C31" s="14" t="inlineStr">
        <is>
          <t>RFID100001</t>
        </is>
      </c>
      <c r="D31" s="14" t="inlineStr">
        <is>
          <t>2024-01-30</t>
        </is>
      </c>
      <c r="E31" s="14" t="inlineStr">
        <is>
          <t>08:00</t>
        </is>
      </c>
      <c r="F31" s="14" t="n">
        <v>8.77</v>
      </c>
      <c r="G31" s="14" t="n">
        <v>9.359999999999999</v>
      </c>
      <c r="H31" s="14" t="n">
        <v>7.88</v>
      </c>
      <c r="I31" s="15">
        <f>F31+G31+H31</f>
        <v/>
      </c>
      <c r="J31" s="15">
        <f>ROUND((I31-27.3)/27.3*100,2)</f>
        <v/>
      </c>
      <c r="K31" s="15" t="inlineStr">
        <is>
          <t>Normal</t>
        </is>
      </c>
    </row>
    <row r="32" ht="15" customHeight="1" s="11">
      <c r="A32" s="13" t="n">
        <v>31</v>
      </c>
      <c r="B32" s="13" t="inlineStr">
        <is>
          <t>COW002</t>
        </is>
      </c>
      <c r="C32" s="13" t="inlineStr">
        <is>
          <t>RFID100002</t>
        </is>
      </c>
      <c r="D32" s="13" t="inlineStr">
        <is>
          <t>2024-01-01</t>
        </is>
      </c>
      <c r="E32" s="13" t="inlineStr">
        <is>
          <t>08:00</t>
        </is>
      </c>
      <c r="F32" s="13" t="n">
        <v>9.84</v>
      </c>
      <c r="G32" s="13" t="n">
        <v>7.95</v>
      </c>
      <c r="H32" s="13" t="n">
        <v>9.220000000000001</v>
      </c>
      <c r="I32" s="15">
        <f>F32+G32+H32</f>
        <v/>
      </c>
      <c r="J32" s="15">
        <f>ROUND((I32-26.7)/26.7*100,2)</f>
        <v/>
      </c>
      <c r="K32" s="15" t="inlineStr">
        <is>
          <t>Normal</t>
        </is>
      </c>
    </row>
    <row r="33" ht="15" customHeight="1" s="11">
      <c r="A33" s="14" t="n">
        <v>32</v>
      </c>
      <c r="B33" s="14" t="inlineStr">
        <is>
          <t>COW002</t>
        </is>
      </c>
      <c r="C33" s="14" t="inlineStr">
        <is>
          <t>RFID100002</t>
        </is>
      </c>
      <c r="D33" s="14" t="inlineStr">
        <is>
          <t>2024-01-02</t>
        </is>
      </c>
      <c r="E33" s="14" t="inlineStr">
        <is>
          <t>08:00</t>
        </is>
      </c>
      <c r="F33" s="14" t="n">
        <v>8.99</v>
      </c>
      <c r="G33" s="14" t="n">
        <v>8.130000000000001</v>
      </c>
      <c r="H33" s="14" t="n">
        <v>9.17</v>
      </c>
      <c r="I33" s="15">
        <f>F33+G33+H33</f>
        <v/>
      </c>
      <c r="J33" s="15">
        <f>ROUND((I33-26.7)/26.7*100,2)</f>
        <v/>
      </c>
      <c r="K33" s="15" t="inlineStr">
        <is>
          <t>Normal</t>
        </is>
      </c>
    </row>
    <row r="34" ht="15" customHeight="1" s="11">
      <c r="A34" s="13" t="n">
        <v>33</v>
      </c>
      <c r="B34" s="13" t="inlineStr">
        <is>
          <t>COW002</t>
        </is>
      </c>
      <c r="C34" s="13" t="inlineStr">
        <is>
          <t>RFID100002</t>
        </is>
      </c>
      <c r="D34" s="13" t="inlineStr">
        <is>
          <t>2024-01-03</t>
        </is>
      </c>
      <c r="E34" s="13" t="inlineStr">
        <is>
          <t>08:00</t>
        </is>
      </c>
      <c r="F34" s="13" t="n">
        <v>8.5</v>
      </c>
      <c r="G34" s="13" t="n">
        <v>7.53</v>
      </c>
      <c r="H34" s="13" t="n">
        <v>7.89</v>
      </c>
      <c r="I34" s="15">
        <f>F34+G34+H34</f>
        <v/>
      </c>
      <c r="J34" s="15">
        <f>ROUND((I34-26.7)/26.7*100,2)</f>
        <v/>
      </c>
      <c r="K34" s="15" t="inlineStr">
        <is>
          <t>Low intake</t>
        </is>
      </c>
    </row>
    <row r="35" ht="15" customHeight="1" s="11">
      <c r="A35" s="14" t="n">
        <v>34</v>
      </c>
      <c r="B35" s="14" t="inlineStr">
        <is>
          <t>COW002</t>
        </is>
      </c>
      <c r="C35" s="14" t="inlineStr">
        <is>
          <t>RFID100002</t>
        </is>
      </c>
      <c r="D35" s="14" t="inlineStr">
        <is>
          <t>2024-01-04</t>
        </is>
      </c>
      <c r="E35" s="14" t="inlineStr">
        <is>
          <t>08:00</t>
        </is>
      </c>
      <c r="F35" s="14" t="n">
        <v>8.710000000000001</v>
      </c>
      <c r="G35" s="14" t="n">
        <v>9.32</v>
      </c>
      <c r="H35" s="14" t="n">
        <v>9.539999999999999</v>
      </c>
      <c r="I35" s="15">
        <f>F35+G35+H35</f>
        <v/>
      </c>
      <c r="J35" s="15">
        <f>ROUND((I35-26.7)/26.7*100,2)</f>
        <v/>
      </c>
      <c r="K35" s="15" t="inlineStr">
        <is>
          <t>Normal</t>
        </is>
      </c>
    </row>
    <row r="36" ht="15" customHeight="1" s="11">
      <c r="A36" s="13" t="n">
        <v>35</v>
      </c>
      <c r="B36" s="13" t="inlineStr">
        <is>
          <t>COW002</t>
        </is>
      </c>
      <c r="C36" s="13" t="inlineStr">
        <is>
          <t>RFID100002</t>
        </is>
      </c>
      <c r="D36" s="13" t="inlineStr">
        <is>
          <t>2024-01-05</t>
        </is>
      </c>
      <c r="E36" s="13" t="inlineStr">
        <is>
          <t>08:00</t>
        </is>
      </c>
      <c r="F36" s="13" t="n">
        <v>8.609999999999999</v>
      </c>
      <c r="G36" s="13" t="n">
        <v>8.85</v>
      </c>
      <c r="H36" s="13" t="n">
        <v>8.33</v>
      </c>
      <c r="I36" s="15">
        <f>F36+G36+H36</f>
        <v/>
      </c>
      <c r="J36" s="15">
        <f>ROUND((I36-26.7)/26.7*100,2)</f>
        <v/>
      </c>
      <c r="K36" s="15" t="inlineStr">
        <is>
          <t>Normal</t>
        </is>
      </c>
    </row>
    <row r="37" ht="15" customHeight="1" s="11">
      <c r="A37" s="14" t="n">
        <v>36</v>
      </c>
      <c r="B37" s="14" t="inlineStr">
        <is>
          <t>COW002</t>
        </is>
      </c>
      <c r="C37" s="14" t="inlineStr">
        <is>
          <t>RFID100002</t>
        </is>
      </c>
      <c r="D37" s="14" t="inlineStr">
        <is>
          <t>2024-01-06</t>
        </is>
      </c>
      <c r="E37" s="14" t="inlineStr">
        <is>
          <t>08:00</t>
        </is>
      </c>
      <c r="F37" s="14" t="n">
        <v>10.11</v>
      </c>
      <c r="G37" s="14" t="n">
        <v>8.619999999999999</v>
      </c>
      <c r="H37" s="14" t="n">
        <v>9.48</v>
      </c>
      <c r="I37" s="15">
        <f>F37+G37+H37</f>
        <v/>
      </c>
      <c r="J37" s="15">
        <f>ROUND((I37-26.7)/26.7*100,2)</f>
        <v/>
      </c>
      <c r="K37" s="15" t="inlineStr">
        <is>
          <t>Normal</t>
        </is>
      </c>
    </row>
    <row r="38" ht="15" customHeight="1" s="11">
      <c r="A38" s="13" t="n">
        <v>37</v>
      </c>
      <c r="B38" s="13" t="inlineStr">
        <is>
          <t>COW002</t>
        </is>
      </c>
      <c r="C38" s="13" t="inlineStr">
        <is>
          <t>RFID100002</t>
        </is>
      </c>
      <c r="D38" s="13" t="inlineStr">
        <is>
          <t>2024-01-07</t>
        </is>
      </c>
      <c r="E38" s="13" t="inlineStr">
        <is>
          <t>08:00</t>
        </is>
      </c>
      <c r="F38" s="13" t="n">
        <v>8.26</v>
      </c>
      <c r="G38" s="13" t="n">
        <v>9.550000000000001</v>
      </c>
      <c r="H38" s="13" t="n">
        <v>7.86</v>
      </c>
      <c r="I38" s="15">
        <f>F38+G38+H38</f>
        <v/>
      </c>
      <c r="J38" s="15">
        <f>ROUND((I38-26.7)/26.7*100,2)</f>
        <v/>
      </c>
      <c r="K38" s="15" t="inlineStr">
        <is>
          <t>Normal</t>
        </is>
      </c>
    </row>
    <row r="39" ht="15" customHeight="1" s="11">
      <c r="A39" s="14" t="n">
        <v>38</v>
      </c>
      <c r="B39" s="14" t="inlineStr">
        <is>
          <t>COW002</t>
        </is>
      </c>
      <c r="C39" s="14" t="inlineStr">
        <is>
          <t>RFID100002</t>
        </is>
      </c>
      <c r="D39" s="14" t="inlineStr">
        <is>
          <t>2024-01-08</t>
        </is>
      </c>
      <c r="E39" s="14" t="inlineStr">
        <is>
          <t>08:00</t>
        </is>
      </c>
      <c r="F39" s="14" t="n">
        <v>10.07</v>
      </c>
      <c r="G39" s="14" t="n">
        <v>8.039999999999999</v>
      </c>
      <c r="H39" s="14" t="n">
        <v>7.71</v>
      </c>
      <c r="I39" s="15">
        <f>F39+G39+H39</f>
        <v/>
      </c>
      <c r="J39" s="15">
        <f>ROUND((I39-26.7)/26.7*100,2)</f>
        <v/>
      </c>
      <c r="K39" s="15" t="inlineStr">
        <is>
          <t>Normal</t>
        </is>
      </c>
    </row>
    <row r="40" ht="15" customHeight="1" s="11">
      <c r="A40" s="13" t="n">
        <v>39</v>
      </c>
      <c r="B40" s="13" t="inlineStr">
        <is>
          <t>COW002</t>
        </is>
      </c>
      <c r="C40" s="13" t="inlineStr">
        <is>
          <t>RFID100002</t>
        </is>
      </c>
      <c r="D40" s="13" t="inlineStr">
        <is>
          <t>2024-01-09</t>
        </is>
      </c>
      <c r="E40" s="13" t="inlineStr">
        <is>
          <t>08:00</t>
        </is>
      </c>
      <c r="F40" s="13" t="n">
        <v>8.94</v>
      </c>
      <c r="G40" s="13" t="n">
        <v>9.029999999999999</v>
      </c>
      <c r="H40" s="13" t="n">
        <v>8.15</v>
      </c>
      <c r="I40" s="15">
        <f>F40+G40+H40</f>
        <v/>
      </c>
      <c r="J40" s="15">
        <f>ROUND((I40-26.7)/26.7*100,2)</f>
        <v/>
      </c>
      <c r="K40" s="15" t="inlineStr">
        <is>
          <t>Normal</t>
        </is>
      </c>
    </row>
    <row r="41" ht="15" customHeight="1" s="11">
      <c r="A41" s="14" t="n">
        <v>40</v>
      </c>
      <c r="B41" s="14" t="inlineStr">
        <is>
          <t>COW002</t>
        </is>
      </c>
      <c r="C41" s="14" t="inlineStr">
        <is>
          <t>RFID100002</t>
        </is>
      </c>
      <c r="D41" s="14" t="inlineStr">
        <is>
          <t>2024-01-10</t>
        </is>
      </c>
      <c r="E41" s="14" t="inlineStr">
        <is>
          <t>08:00</t>
        </is>
      </c>
      <c r="F41" s="14" t="n">
        <v>9.300000000000001</v>
      </c>
      <c r="G41" s="14" t="n">
        <v>8.57</v>
      </c>
      <c r="H41" s="14" t="n">
        <v>8.300000000000001</v>
      </c>
      <c r="I41" s="15">
        <f>F41+G41+H41</f>
        <v/>
      </c>
      <c r="J41" s="15">
        <f>ROUND((I41-26.7)/26.7*100,2)</f>
        <v/>
      </c>
      <c r="K41" s="15" t="inlineStr">
        <is>
          <t>Normal</t>
        </is>
      </c>
    </row>
    <row r="42" ht="15" customHeight="1" s="11">
      <c r="A42" s="13" t="n">
        <v>41</v>
      </c>
      <c r="B42" s="13" t="inlineStr">
        <is>
          <t>COW002</t>
        </is>
      </c>
      <c r="C42" s="13" t="inlineStr">
        <is>
          <t>RFID100002</t>
        </is>
      </c>
      <c r="D42" s="13" t="inlineStr">
        <is>
          <t>2024-01-11</t>
        </is>
      </c>
      <c r="E42" s="13" t="inlineStr">
        <is>
          <t>08:00</t>
        </is>
      </c>
      <c r="F42" s="13" t="n">
        <v>9.24</v>
      </c>
      <c r="G42" s="13" t="n">
        <v>8.02</v>
      </c>
      <c r="H42" s="13" t="n">
        <v>8.99</v>
      </c>
      <c r="I42" s="15">
        <f>F42+G42+H42</f>
        <v/>
      </c>
      <c r="J42" s="15">
        <f>ROUND((I42-26.7)/26.7*100,2)</f>
        <v/>
      </c>
      <c r="K42" s="15" t="inlineStr">
        <is>
          <t>Normal</t>
        </is>
      </c>
    </row>
    <row r="43" ht="15" customHeight="1" s="11">
      <c r="A43" s="14" t="n">
        <v>42</v>
      </c>
      <c r="B43" s="14" t="inlineStr">
        <is>
          <t>COW002</t>
        </is>
      </c>
      <c r="C43" s="14" t="inlineStr">
        <is>
          <t>RFID100002</t>
        </is>
      </c>
      <c r="D43" s="14" t="inlineStr">
        <is>
          <t>2024-01-12</t>
        </is>
      </c>
      <c r="E43" s="14" t="inlineStr">
        <is>
          <t>08:00</t>
        </is>
      </c>
      <c r="F43" s="14" t="n">
        <v>8.01</v>
      </c>
      <c r="G43" s="14" t="n">
        <v>9.449999999999999</v>
      </c>
      <c r="H43" s="14" t="n">
        <v>8.630000000000001</v>
      </c>
      <c r="I43" s="15">
        <f>F43+G43+H43</f>
        <v/>
      </c>
      <c r="J43" s="15">
        <f>ROUND((I43-26.7)/26.7*100,2)</f>
        <v/>
      </c>
      <c r="K43" s="15" t="inlineStr">
        <is>
          <t>Normal</t>
        </is>
      </c>
    </row>
    <row r="44" ht="15" customHeight="1" s="11">
      <c r="A44" s="13" t="n">
        <v>43</v>
      </c>
      <c r="B44" s="13" t="inlineStr">
        <is>
          <t>COW002</t>
        </is>
      </c>
      <c r="C44" s="13" t="inlineStr">
        <is>
          <t>RFID100002</t>
        </is>
      </c>
      <c r="D44" s="13" t="inlineStr">
        <is>
          <t>2024-01-13</t>
        </is>
      </c>
      <c r="E44" s="13" t="inlineStr">
        <is>
          <t>08:00</t>
        </is>
      </c>
      <c r="F44" s="13" t="n">
        <v>9.550000000000001</v>
      </c>
      <c r="G44" s="13" t="n">
        <v>9.06</v>
      </c>
      <c r="H44" s="13" t="n">
        <v>8.91</v>
      </c>
      <c r="I44" s="15">
        <f>F44+G44+H44</f>
        <v/>
      </c>
      <c r="J44" s="15">
        <f>ROUND((I44-26.7)/26.7*100,2)</f>
        <v/>
      </c>
      <c r="K44" s="15" t="inlineStr">
        <is>
          <t>Normal</t>
        </is>
      </c>
    </row>
    <row r="45" ht="15" customHeight="1" s="11">
      <c r="A45" s="14" t="n">
        <v>44</v>
      </c>
      <c r="B45" s="14" t="inlineStr">
        <is>
          <t>COW002</t>
        </is>
      </c>
      <c r="C45" s="14" t="inlineStr">
        <is>
          <t>RFID100002</t>
        </is>
      </c>
      <c r="D45" s="14" t="inlineStr">
        <is>
          <t>2024-01-14</t>
        </is>
      </c>
      <c r="E45" s="14" t="inlineStr">
        <is>
          <t>08:00</t>
        </is>
      </c>
      <c r="F45" s="14" t="n">
        <v>8.789999999999999</v>
      </c>
      <c r="G45" s="14" t="n">
        <v>7.63</v>
      </c>
      <c r="H45" s="14" t="n">
        <v>8.890000000000001</v>
      </c>
      <c r="I45" s="15">
        <f>F45+G45+H45</f>
        <v/>
      </c>
      <c r="J45" s="15">
        <f>ROUND((I45-26.7)/26.7*100,2)</f>
        <v/>
      </c>
      <c r="K45" s="15" t="inlineStr">
        <is>
          <t>Normal</t>
        </is>
      </c>
    </row>
    <row r="46" ht="15" customHeight="1" s="11">
      <c r="A46" s="13" t="n">
        <v>45</v>
      </c>
      <c r="B46" s="13" t="inlineStr">
        <is>
          <t>COW002</t>
        </is>
      </c>
      <c r="C46" s="13" t="inlineStr">
        <is>
          <t>RFID100002</t>
        </is>
      </c>
      <c r="D46" s="13" t="inlineStr">
        <is>
          <t>2024-01-15</t>
        </is>
      </c>
      <c r="E46" s="13" t="inlineStr">
        <is>
          <t>08:00</t>
        </is>
      </c>
      <c r="F46" s="13" t="n">
        <v>8.720000000000001</v>
      </c>
      <c r="G46" s="13" t="n">
        <v>8.15</v>
      </c>
      <c r="H46" s="13" t="n">
        <v>9.289999999999999</v>
      </c>
      <c r="I46" s="15">
        <f>F46+G46+H46</f>
        <v/>
      </c>
      <c r="J46" s="15">
        <f>ROUND((I46-26.7)/26.7*100,2)</f>
        <v/>
      </c>
      <c r="K46" s="15" t="inlineStr">
        <is>
          <t>Normal</t>
        </is>
      </c>
    </row>
    <row r="47" ht="15" customHeight="1" s="11">
      <c r="A47" s="14" t="n">
        <v>46</v>
      </c>
      <c r="B47" s="14" t="inlineStr">
        <is>
          <t>COW002</t>
        </is>
      </c>
      <c r="C47" s="14" t="inlineStr">
        <is>
          <t>RFID100002</t>
        </is>
      </c>
      <c r="D47" s="14" t="inlineStr">
        <is>
          <t>2024-01-16</t>
        </is>
      </c>
      <c r="E47" s="14" t="inlineStr">
        <is>
          <t>08:00</t>
        </is>
      </c>
      <c r="F47" s="14" t="n">
        <v>9.550000000000001</v>
      </c>
      <c r="G47" s="14" t="n">
        <v>8.119999999999999</v>
      </c>
      <c r="H47" s="14" t="n">
        <v>8.140000000000001</v>
      </c>
      <c r="I47" s="15">
        <f>F47+G47+H47</f>
        <v/>
      </c>
      <c r="J47" s="15">
        <f>ROUND((I47-26.7)/26.7*100,2)</f>
        <v/>
      </c>
      <c r="K47" s="15" t="inlineStr">
        <is>
          <t>Normal</t>
        </is>
      </c>
    </row>
    <row r="48" ht="15" customHeight="1" s="11">
      <c r="A48" s="13" t="n">
        <v>47</v>
      </c>
      <c r="B48" s="13" t="inlineStr">
        <is>
          <t>COW002</t>
        </is>
      </c>
      <c r="C48" s="13" t="inlineStr">
        <is>
          <t>RFID100002</t>
        </is>
      </c>
      <c r="D48" s="13" t="inlineStr">
        <is>
          <t>2024-01-17</t>
        </is>
      </c>
      <c r="E48" s="13" t="inlineStr">
        <is>
          <t>08:00</t>
        </is>
      </c>
      <c r="F48" s="13" t="n">
        <v>8.880000000000001</v>
      </c>
      <c r="G48" s="13" t="n">
        <v>8.34</v>
      </c>
      <c r="H48" s="13" t="n">
        <v>8.109999999999999</v>
      </c>
      <c r="I48" s="15">
        <f>F48+G48+H48</f>
        <v/>
      </c>
      <c r="J48" s="15">
        <f>ROUND((I48-26.7)/26.7*100,2)</f>
        <v/>
      </c>
      <c r="K48" s="15" t="inlineStr">
        <is>
          <t>Normal</t>
        </is>
      </c>
    </row>
    <row r="49" ht="15" customHeight="1" s="11">
      <c r="A49" s="14" t="n">
        <v>48</v>
      </c>
      <c r="B49" s="14" t="inlineStr">
        <is>
          <t>COW002</t>
        </is>
      </c>
      <c r="C49" s="14" t="inlineStr">
        <is>
          <t>RFID100002</t>
        </is>
      </c>
      <c r="D49" s="14" t="inlineStr">
        <is>
          <t>2024-01-18</t>
        </is>
      </c>
      <c r="E49" s="14" t="inlineStr">
        <is>
          <t>08:00</t>
        </is>
      </c>
      <c r="F49" s="14" t="n">
        <v>8.279999999999999</v>
      </c>
      <c r="G49" s="14" t="n">
        <v>8.369999999999999</v>
      </c>
      <c r="H49" s="14" t="n">
        <v>9.48</v>
      </c>
      <c r="I49" s="15">
        <f>F49+G49+H49</f>
        <v/>
      </c>
      <c r="J49" s="15">
        <f>ROUND((I49-26.7)/26.7*100,2)</f>
        <v/>
      </c>
      <c r="K49" s="15" t="inlineStr">
        <is>
          <t>Normal</t>
        </is>
      </c>
    </row>
    <row r="50" ht="15" customHeight="1" s="11">
      <c r="A50" s="13" t="n">
        <v>49</v>
      </c>
      <c r="B50" s="13" t="inlineStr">
        <is>
          <t>COW002</t>
        </is>
      </c>
      <c r="C50" s="13" t="inlineStr">
        <is>
          <t>RFID100002</t>
        </is>
      </c>
      <c r="D50" s="13" t="inlineStr">
        <is>
          <t>2024-01-19</t>
        </is>
      </c>
      <c r="E50" s="13" t="inlineStr">
        <is>
          <t>08:00</t>
        </is>
      </c>
      <c r="F50" s="13" t="n">
        <v>9.460000000000001</v>
      </c>
      <c r="G50" s="13" t="n">
        <v>9.4</v>
      </c>
      <c r="H50" s="13" t="n">
        <v>8.789999999999999</v>
      </c>
      <c r="I50" s="15">
        <f>F50+G50+H50</f>
        <v/>
      </c>
      <c r="J50" s="15">
        <f>ROUND((I50-26.7)/26.7*100,2)</f>
        <v/>
      </c>
      <c r="K50" s="15" t="inlineStr">
        <is>
          <t>Normal</t>
        </is>
      </c>
    </row>
    <row r="51" ht="15" customHeight="1" s="11">
      <c r="A51" s="14" t="n">
        <v>50</v>
      </c>
      <c r="B51" s="14" t="inlineStr">
        <is>
          <t>COW002</t>
        </is>
      </c>
      <c r="C51" s="14" t="inlineStr">
        <is>
          <t>RFID100002</t>
        </is>
      </c>
      <c r="D51" s="14" t="inlineStr">
        <is>
          <t>2024-01-20</t>
        </is>
      </c>
      <c r="E51" s="14" t="inlineStr">
        <is>
          <t>08:00</t>
        </is>
      </c>
      <c r="F51" s="14" t="n">
        <v>8.65</v>
      </c>
      <c r="G51" s="14" t="n">
        <v>8.65</v>
      </c>
      <c r="H51" s="14" t="n">
        <v>7.48</v>
      </c>
      <c r="I51" s="15">
        <f>F51+G51+H51</f>
        <v/>
      </c>
      <c r="J51" s="15">
        <f>ROUND((I51-26.7)/26.7*100,2)</f>
        <v/>
      </c>
      <c r="K51" s="15" t="inlineStr">
        <is>
          <t>Normal</t>
        </is>
      </c>
    </row>
    <row r="52" ht="15" customHeight="1" s="11">
      <c r="A52" s="13" t="n">
        <v>51</v>
      </c>
      <c r="B52" s="13" t="inlineStr">
        <is>
          <t>COW002</t>
        </is>
      </c>
      <c r="C52" s="13" t="inlineStr">
        <is>
          <t>RFID100002</t>
        </is>
      </c>
      <c r="D52" s="13" t="inlineStr">
        <is>
          <t>2024-01-21</t>
        </is>
      </c>
      <c r="E52" s="13" t="inlineStr">
        <is>
          <t>08:00</t>
        </is>
      </c>
      <c r="F52" s="13" t="n">
        <v>8.619999999999999</v>
      </c>
      <c r="G52" s="13" t="n">
        <v>8.390000000000001</v>
      </c>
      <c r="H52" s="13" t="n">
        <v>8.710000000000001</v>
      </c>
      <c r="I52" s="15">
        <f>F52+G52+H52</f>
        <v/>
      </c>
      <c r="J52" s="15">
        <f>ROUND((I52-26.7)/26.7*100,2)</f>
        <v/>
      </c>
      <c r="K52" s="15" t="inlineStr">
        <is>
          <t>Normal</t>
        </is>
      </c>
    </row>
    <row r="53" ht="15" customHeight="1" s="11">
      <c r="A53" s="14" t="n">
        <v>52</v>
      </c>
      <c r="B53" s="14" t="inlineStr">
        <is>
          <t>COW002</t>
        </is>
      </c>
      <c r="C53" s="14" t="inlineStr">
        <is>
          <t>RFID100002</t>
        </is>
      </c>
      <c r="D53" s="14" t="inlineStr">
        <is>
          <t>2024-01-22</t>
        </is>
      </c>
      <c r="E53" s="14" t="inlineStr">
        <is>
          <t>08:00</t>
        </is>
      </c>
      <c r="F53" s="14" t="n">
        <v>9.41</v>
      </c>
      <c r="G53" s="14" t="n">
        <v>8.470000000000001</v>
      </c>
      <c r="H53" s="14" t="n">
        <v>8.42</v>
      </c>
      <c r="I53" s="15">
        <f>F53+G53+H53</f>
        <v/>
      </c>
      <c r="J53" s="15">
        <f>ROUND((I53-26.7)/26.7*100,2)</f>
        <v/>
      </c>
      <c r="K53" s="15" t="inlineStr">
        <is>
          <t>Normal</t>
        </is>
      </c>
    </row>
    <row r="54" ht="15" customHeight="1" s="11">
      <c r="A54" s="13" t="n">
        <v>53</v>
      </c>
      <c r="B54" s="13" t="inlineStr">
        <is>
          <t>COW002</t>
        </is>
      </c>
      <c r="C54" s="13" t="inlineStr">
        <is>
          <t>RFID100002</t>
        </is>
      </c>
      <c r="D54" s="13" t="inlineStr">
        <is>
          <t>2024-01-23</t>
        </is>
      </c>
      <c r="E54" s="13" t="inlineStr">
        <is>
          <t>08:00</t>
        </is>
      </c>
      <c r="F54" s="13" t="n">
        <v>8.470000000000001</v>
      </c>
      <c r="G54" s="13" t="n">
        <v>8.49</v>
      </c>
      <c r="H54" s="13" t="n">
        <v>9.4</v>
      </c>
      <c r="I54" s="15">
        <f>F54+G54+H54</f>
        <v/>
      </c>
      <c r="J54" s="15">
        <f>ROUND((I54-26.7)/26.7*100,2)</f>
        <v/>
      </c>
      <c r="K54" s="15" t="inlineStr">
        <is>
          <t>Normal</t>
        </is>
      </c>
    </row>
    <row r="55" ht="15" customHeight="1" s="11">
      <c r="A55" s="14" t="n">
        <v>54</v>
      </c>
      <c r="B55" s="14" t="inlineStr">
        <is>
          <t>COW002</t>
        </is>
      </c>
      <c r="C55" s="14" t="inlineStr">
        <is>
          <t>RFID100002</t>
        </is>
      </c>
      <c r="D55" s="14" t="inlineStr">
        <is>
          <t>2024-01-24</t>
        </is>
      </c>
      <c r="E55" s="14" t="inlineStr">
        <is>
          <t>08:00</t>
        </is>
      </c>
      <c r="F55" s="14" t="n">
        <v>9.710000000000001</v>
      </c>
      <c r="G55" s="14" t="n">
        <v>7.84</v>
      </c>
      <c r="H55" s="14" t="n">
        <v>7.66</v>
      </c>
      <c r="I55" s="15">
        <f>F55+G55+H55</f>
        <v/>
      </c>
      <c r="J55" s="15">
        <f>ROUND((I55-26.7)/26.7*100,2)</f>
        <v/>
      </c>
      <c r="K55" s="15" t="inlineStr">
        <is>
          <t>Normal</t>
        </is>
      </c>
    </row>
    <row r="56" ht="15" customHeight="1" s="11">
      <c r="A56" s="13" t="n">
        <v>55</v>
      </c>
      <c r="B56" s="13" t="inlineStr">
        <is>
          <t>COW002</t>
        </is>
      </c>
      <c r="C56" s="13" t="inlineStr">
        <is>
          <t>RFID100002</t>
        </is>
      </c>
      <c r="D56" s="13" t="inlineStr">
        <is>
          <t>2024-01-25</t>
        </is>
      </c>
      <c r="E56" s="13" t="inlineStr">
        <is>
          <t>08:00</t>
        </is>
      </c>
      <c r="F56" s="13" t="n">
        <v>9.109999999999999</v>
      </c>
      <c r="G56" s="13" t="n">
        <v>8.83</v>
      </c>
      <c r="H56" s="13" t="n">
        <v>8.19</v>
      </c>
      <c r="I56" s="15">
        <f>F56+G56+H56</f>
        <v/>
      </c>
      <c r="J56" s="15">
        <f>ROUND((I56-26.7)/26.7*100,2)</f>
        <v/>
      </c>
      <c r="K56" s="15" t="inlineStr">
        <is>
          <t>Normal</t>
        </is>
      </c>
    </row>
    <row r="57" ht="15" customHeight="1" s="11">
      <c r="A57" s="14" t="n">
        <v>56</v>
      </c>
      <c r="B57" s="14" t="inlineStr">
        <is>
          <t>COW002</t>
        </is>
      </c>
      <c r="C57" s="14" t="inlineStr">
        <is>
          <t>RFID100002</t>
        </is>
      </c>
      <c r="D57" s="14" t="inlineStr">
        <is>
          <t>2024-01-26</t>
        </is>
      </c>
      <c r="E57" s="14" t="inlineStr">
        <is>
          <t>08:00</t>
        </is>
      </c>
      <c r="F57" s="14" t="n">
        <v>9.76</v>
      </c>
      <c r="G57" s="14" t="n">
        <v>9.08</v>
      </c>
      <c r="H57" s="14" t="n">
        <v>8.91</v>
      </c>
      <c r="I57" s="15">
        <f>F57+G57+H57</f>
        <v/>
      </c>
      <c r="J57" s="15">
        <f>ROUND((I57-26.7)/26.7*100,2)</f>
        <v/>
      </c>
      <c r="K57" s="15" t="inlineStr">
        <is>
          <t>Normal</t>
        </is>
      </c>
    </row>
    <row r="58" ht="15" customHeight="1" s="11">
      <c r="A58" s="13" t="n">
        <v>57</v>
      </c>
      <c r="B58" s="13" t="inlineStr">
        <is>
          <t>COW002</t>
        </is>
      </c>
      <c r="C58" s="13" t="inlineStr">
        <is>
          <t>RFID100002</t>
        </is>
      </c>
      <c r="D58" s="13" t="inlineStr">
        <is>
          <t>2024-01-27</t>
        </is>
      </c>
      <c r="E58" s="13" t="inlineStr">
        <is>
          <t>08:00</t>
        </is>
      </c>
      <c r="F58" s="13" t="n">
        <v>8.49</v>
      </c>
      <c r="G58" s="13" t="n">
        <v>7.9</v>
      </c>
      <c r="H58" s="13" t="n">
        <v>7.53</v>
      </c>
      <c r="I58" s="15">
        <f>F58+G58+H58</f>
        <v/>
      </c>
      <c r="J58" s="15">
        <f>ROUND((I58-26.7)/26.7*100,2)</f>
        <v/>
      </c>
      <c r="K58" s="15" t="inlineStr">
        <is>
          <t>Low intake</t>
        </is>
      </c>
    </row>
    <row r="59" ht="15" customHeight="1" s="11">
      <c r="A59" s="14" t="n">
        <v>58</v>
      </c>
      <c r="B59" s="14" t="inlineStr">
        <is>
          <t>COW002</t>
        </is>
      </c>
      <c r="C59" s="14" t="inlineStr">
        <is>
          <t>RFID100002</t>
        </is>
      </c>
      <c r="D59" s="14" t="inlineStr">
        <is>
          <t>2024-01-28</t>
        </is>
      </c>
      <c r="E59" s="14" t="inlineStr">
        <is>
          <t>08:00</t>
        </is>
      </c>
      <c r="F59" s="14" t="n">
        <v>8.529999999999999</v>
      </c>
      <c r="G59" s="14" t="n">
        <v>8.49</v>
      </c>
      <c r="H59" s="14" t="n">
        <v>9.289999999999999</v>
      </c>
      <c r="I59" s="15">
        <f>F59+G59+H59</f>
        <v/>
      </c>
      <c r="J59" s="15">
        <f>ROUND((I59-26.7)/26.7*100,2)</f>
        <v/>
      </c>
      <c r="K59" s="15" t="inlineStr">
        <is>
          <t>Normal</t>
        </is>
      </c>
    </row>
    <row r="60" ht="15" customHeight="1" s="11">
      <c r="A60" s="13" t="n">
        <v>59</v>
      </c>
      <c r="B60" s="13" t="inlineStr">
        <is>
          <t>COW002</t>
        </is>
      </c>
      <c r="C60" s="13" t="inlineStr">
        <is>
          <t>RFID100002</t>
        </is>
      </c>
      <c r="D60" s="13" t="inlineStr">
        <is>
          <t>2024-01-29</t>
        </is>
      </c>
      <c r="E60" s="13" t="inlineStr">
        <is>
          <t>08:00</t>
        </is>
      </c>
      <c r="F60" s="13" t="n">
        <v>8.17</v>
      </c>
      <c r="G60" s="13" t="n">
        <v>8.359999999999999</v>
      </c>
      <c r="H60" s="13" t="n">
        <v>8.82</v>
      </c>
      <c r="I60" s="15">
        <f>F60+G60+H60</f>
        <v/>
      </c>
      <c r="J60" s="15">
        <f>ROUND((I60-26.7)/26.7*100,2)</f>
        <v/>
      </c>
      <c r="K60" s="15" t="inlineStr">
        <is>
          <t>Normal</t>
        </is>
      </c>
    </row>
    <row r="61" ht="15" customHeight="1" s="11">
      <c r="A61" s="14" t="n">
        <v>60</v>
      </c>
      <c r="B61" s="14" t="inlineStr">
        <is>
          <t>COW002</t>
        </is>
      </c>
      <c r="C61" s="14" t="inlineStr">
        <is>
          <t>RFID100002</t>
        </is>
      </c>
      <c r="D61" s="14" t="inlineStr">
        <is>
          <t>2024-01-30</t>
        </is>
      </c>
      <c r="E61" s="14" t="inlineStr">
        <is>
          <t>08:00</t>
        </is>
      </c>
      <c r="F61" s="14" t="n">
        <v>8.43</v>
      </c>
      <c r="G61" s="14" t="n">
        <v>8.960000000000001</v>
      </c>
      <c r="H61" s="14" t="n">
        <v>8.529999999999999</v>
      </c>
      <c r="I61" s="15">
        <f>F61+G61+H61</f>
        <v/>
      </c>
      <c r="J61" s="15">
        <f>ROUND((I61-26.7)/26.7*100,2)</f>
        <v/>
      </c>
      <c r="K61" s="15" t="inlineStr">
        <is>
          <t>Normal</t>
        </is>
      </c>
    </row>
    <row r="62" ht="15" customHeight="1" s="11">
      <c r="A62" s="13" t="n">
        <v>61</v>
      </c>
      <c r="B62" s="13" t="inlineStr">
        <is>
          <t>COW003</t>
        </is>
      </c>
      <c r="C62" s="13" t="inlineStr">
        <is>
          <t>RFID100003</t>
        </is>
      </c>
      <c r="D62" s="13" t="inlineStr">
        <is>
          <t>2024-01-01</t>
        </is>
      </c>
      <c r="E62" s="13" t="inlineStr">
        <is>
          <t>08:00</t>
        </is>
      </c>
      <c r="F62" s="13" t="n">
        <v>7.19</v>
      </c>
      <c r="G62" s="13" t="n">
        <v>5.72</v>
      </c>
      <c r="H62" s="13" t="n">
        <v>6.94</v>
      </c>
      <c r="I62" s="15">
        <f>F62+G62+H62</f>
        <v/>
      </c>
      <c r="J62" s="15">
        <f>ROUND((I62-20.4)/20.4*100,2)</f>
        <v/>
      </c>
      <c r="K62" s="15" t="inlineStr">
        <is>
          <t>Normal</t>
        </is>
      </c>
    </row>
    <row r="63" ht="15" customHeight="1" s="11">
      <c r="A63" s="14" t="n">
        <v>62</v>
      </c>
      <c r="B63" s="14" t="inlineStr">
        <is>
          <t>COW003</t>
        </is>
      </c>
      <c r="C63" s="14" t="inlineStr">
        <is>
          <t>RFID100003</t>
        </is>
      </c>
      <c r="D63" s="14" t="inlineStr">
        <is>
          <t>2024-01-02</t>
        </is>
      </c>
      <c r="E63" s="14" t="inlineStr">
        <is>
          <t>08:00</t>
        </is>
      </c>
      <c r="F63" s="14" t="n">
        <v>7.38</v>
      </c>
      <c r="G63" s="14" t="n">
        <v>5.89</v>
      </c>
      <c r="H63" s="14" t="n">
        <v>6.41</v>
      </c>
      <c r="I63" s="15">
        <f>F63+G63+H63</f>
        <v/>
      </c>
      <c r="J63" s="15">
        <f>ROUND((I63-20.4)/20.4*100,2)</f>
        <v/>
      </c>
      <c r="K63" s="15" t="inlineStr">
        <is>
          <t>Normal</t>
        </is>
      </c>
    </row>
    <row r="64" ht="15" customHeight="1" s="11">
      <c r="A64" s="13" t="n">
        <v>63</v>
      </c>
      <c r="B64" s="13" t="inlineStr">
        <is>
          <t>COW003</t>
        </is>
      </c>
      <c r="C64" s="13" t="inlineStr">
        <is>
          <t>RFID100003</t>
        </is>
      </c>
      <c r="D64" s="13" t="inlineStr">
        <is>
          <t>2024-01-03</t>
        </is>
      </c>
      <c r="E64" s="13" t="inlineStr">
        <is>
          <t>08:00</t>
        </is>
      </c>
      <c r="F64" s="13" t="n">
        <v>6.41</v>
      </c>
      <c r="G64" s="13" t="n">
        <v>7.28</v>
      </c>
      <c r="H64" s="13" t="n">
        <v>6.56</v>
      </c>
      <c r="I64" s="15">
        <f>F64+G64+H64</f>
        <v/>
      </c>
      <c r="J64" s="15">
        <f>ROUND((I64-20.4)/20.4*100,2)</f>
        <v/>
      </c>
      <c r="K64" s="15" t="inlineStr">
        <is>
          <t>Normal</t>
        </is>
      </c>
    </row>
    <row r="65" ht="15" customHeight="1" s="11">
      <c r="A65" s="14" t="n">
        <v>64</v>
      </c>
      <c r="B65" s="14" t="inlineStr">
        <is>
          <t>COW003</t>
        </is>
      </c>
      <c r="C65" s="14" t="inlineStr">
        <is>
          <t>RFID100003</t>
        </is>
      </c>
      <c r="D65" s="14" t="inlineStr">
        <is>
          <t>2024-01-04</t>
        </is>
      </c>
      <c r="E65" s="14" t="inlineStr">
        <is>
          <t>08:00</t>
        </is>
      </c>
      <c r="F65" s="14" t="n">
        <v>6.2</v>
      </c>
      <c r="G65" s="14" t="n">
        <v>6.12</v>
      </c>
      <c r="H65" s="14" t="n">
        <v>7.1</v>
      </c>
      <c r="I65" s="15">
        <f>F65+G65+H65</f>
        <v/>
      </c>
      <c r="J65" s="15">
        <f>ROUND((I65-20.4)/20.4*100,2)</f>
        <v/>
      </c>
      <c r="K65" s="15" t="inlineStr">
        <is>
          <t>Normal</t>
        </is>
      </c>
    </row>
    <row r="66" ht="15" customHeight="1" s="11">
      <c r="A66" s="13" t="n">
        <v>65</v>
      </c>
      <c r="B66" s="13" t="inlineStr">
        <is>
          <t>COW003</t>
        </is>
      </c>
      <c r="C66" s="13" t="inlineStr">
        <is>
          <t>RFID100003</t>
        </is>
      </c>
      <c r="D66" s="13" t="inlineStr">
        <is>
          <t>2024-01-05</t>
        </is>
      </c>
      <c r="E66" s="13" t="inlineStr">
        <is>
          <t>08:00</t>
        </is>
      </c>
      <c r="F66" s="13" t="n">
        <v>6.86</v>
      </c>
      <c r="G66" s="13" t="n">
        <v>7.02</v>
      </c>
      <c r="H66" s="13" t="n">
        <v>6.8</v>
      </c>
      <c r="I66" s="15">
        <f>F66+G66+H66</f>
        <v/>
      </c>
      <c r="J66" s="15">
        <f>ROUND((I66-20.4)/20.4*100,2)</f>
        <v/>
      </c>
      <c r="K66" s="15" t="inlineStr">
        <is>
          <t>Normal</t>
        </is>
      </c>
    </row>
    <row r="67" ht="15" customHeight="1" s="11">
      <c r="A67" s="14" t="n">
        <v>66</v>
      </c>
      <c r="B67" s="14" t="inlineStr">
        <is>
          <t>COW003</t>
        </is>
      </c>
      <c r="C67" s="14" t="inlineStr">
        <is>
          <t>RFID100003</t>
        </is>
      </c>
      <c r="D67" s="14" t="inlineStr">
        <is>
          <t>2024-01-06</t>
        </is>
      </c>
      <c r="E67" s="14" t="inlineStr">
        <is>
          <t>08:00</t>
        </is>
      </c>
      <c r="F67" s="14" t="n">
        <v>7.73</v>
      </c>
      <c r="G67" s="14" t="n">
        <v>6.68</v>
      </c>
      <c r="H67" s="14" t="n">
        <v>7.26</v>
      </c>
      <c r="I67" s="15">
        <f>F67+G67+H67</f>
        <v/>
      </c>
      <c r="J67" s="15">
        <f>ROUND((I67-20.4)/20.4*100,2)</f>
        <v/>
      </c>
      <c r="K67" s="15" t="inlineStr">
        <is>
          <t>Normal</t>
        </is>
      </c>
    </row>
    <row r="68" ht="15" customHeight="1" s="11">
      <c r="A68" s="13" t="n">
        <v>67</v>
      </c>
      <c r="B68" s="13" t="inlineStr">
        <is>
          <t>COW003</t>
        </is>
      </c>
      <c r="C68" s="13" t="inlineStr">
        <is>
          <t>RFID100003</t>
        </is>
      </c>
      <c r="D68" s="13" t="inlineStr">
        <is>
          <t>2024-01-07</t>
        </is>
      </c>
      <c r="E68" s="13" t="inlineStr">
        <is>
          <t>08:00</t>
        </is>
      </c>
      <c r="F68" s="13" t="n">
        <v>7.57</v>
      </c>
      <c r="G68" s="13" t="n">
        <v>6.71</v>
      </c>
      <c r="H68" s="13" t="n">
        <v>6.89</v>
      </c>
      <c r="I68" s="15">
        <f>F68+G68+H68</f>
        <v/>
      </c>
      <c r="J68" s="15">
        <f>ROUND((I68-20.4)/20.4*100,2)</f>
        <v/>
      </c>
      <c r="K68" s="15" t="inlineStr">
        <is>
          <t>Normal</t>
        </is>
      </c>
    </row>
    <row r="69" ht="15" customHeight="1" s="11">
      <c r="A69" s="14" t="n">
        <v>68</v>
      </c>
      <c r="B69" s="14" t="inlineStr">
        <is>
          <t>COW003</t>
        </is>
      </c>
      <c r="C69" s="14" t="inlineStr">
        <is>
          <t>RFID100003</t>
        </is>
      </c>
      <c r="D69" s="14" t="inlineStr">
        <is>
          <t>2024-01-08</t>
        </is>
      </c>
      <c r="E69" s="14" t="inlineStr">
        <is>
          <t>08:00</t>
        </is>
      </c>
      <c r="F69" s="14" t="n">
        <v>6.94</v>
      </c>
      <c r="G69" s="14" t="n">
        <v>7.07</v>
      </c>
      <c r="H69" s="14" t="n">
        <v>6.61</v>
      </c>
      <c r="I69" s="15">
        <f>F69+G69+H69</f>
        <v/>
      </c>
      <c r="J69" s="15">
        <f>ROUND((I69-20.4)/20.4*100,2)</f>
        <v/>
      </c>
      <c r="K69" s="15" t="inlineStr">
        <is>
          <t>Normal</t>
        </is>
      </c>
    </row>
    <row r="70" ht="15" customHeight="1" s="11">
      <c r="A70" s="13" t="n">
        <v>69</v>
      </c>
      <c r="B70" s="13" t="inlineStr">
        <is>
          <t>COW003</t>
        </is>
      </c>
      <c r="C70" s="13" t="inlineStr">
        <is>
          <t>RFID100003</t>
        </is>
      </c>
      <c r="D70" s="13" t="inlineStr">
        <is>
          <t>2024-01-09</t>
        </is>
      </c>
      <c r="E70" s="13" t="inlineStr">
        <is>
          <t>08:00</t>
        </is>
      </c>
      <c r="F70" s="13" t="n">
        <v>7.58</v>
      </c>
      <c r="G70" s="13" t="n">
        <v>6.93</v>
      </c>
      <c r="H70" s="13" t="n">
        <v>6.49</v>
      </c>
      <c r="I70" s="15">
        <f>F70+G70+H70</f>
        <v/>
      </c>
      <c r="J70" s="15">
        <f>ROUND((I70-20.4)/20.4*100,2)</f>
        <v/>
      </c>
      <c r="K70" s="15" t="inlineStr">
        <is>
          <t>Normal</t>
        </is>
      </c>
    </row>
    <row r="71" ht="15" customHeight="1" s="11">
      <c r="A71" s="14" t="n">
        <v>70</v>
      </c>
      <c r="B71" s="14" t="inlineStr">
        <is>
          <t>COW003</t>
        </is>
      </c>
      <c r="C71" s="14" t="inlineStr">
        <is>
          <t>RFID100003</t>
        </is>
      </c>
      <c r="D71" s="14" t="inlineStr">
        <is>
          <t>2024-01-10</t>
        </is>
      </c>
      <c r="E71" s="14" t="inlineStr">
        <is>
          <t>08:00</t>
        </is>
      </c>
      <c r="F71" s="14" t="n">
        <v>6.54</v>
      </c>
      <c r="G71" s="14" t="n">
        <v>6.12</v>
      </c>
      <c r="H71" s="14" t="n">
        <v>6.75</v>
      </c>
      <c r="I71" s="15">
        <f>F71+G71+H71</f>
        <v/>
      </c>
      <c r="J71" s="15">
        <f>ROUND((I71-20.4)/20.4*100,2)</f>
        <v/>
      </c>
      <c r="K71" s="15" t="inlineStr">
        <is>
          <t>Normal</t>
        </is>
      </c>
    </row>
    <row r="72" ht="15" customHeight="1" s="11">
      <c r="A72" s="13" t="n">
        <v>71</v>
      </c>
      <c r="B72" s="13" t="inlineStr">
        <is>
          <t>COW003</t>
        </is>
      </c>
      <c r="C72" s="13" t="inlineStr">
        <is>
          <t>RFID100003</t>
        </is>
      </c>
      <c r="D72" s="13" t="inlineStr">
        <is>
          <t>2024-01-11</t>
        </is>
      </c>
      <c r="E72" s="13" t="inlineStr">
        <is>
          <t>08:00</t>
        </is>
      </c>
      <c r="F72" s="13" t="n">
        <v>7.37</v>
      </c>
      <c r="G72" s="13" t="n">
        <v>6.56</v>
      </c>
      <c r="H72" s="13" t="n">
        <v>6.73</v>
      </c>
      <c r="I72" s="15">
        <f>F72+G72+H72</f>
        <v/>
      </c>
      <c r="J72" s="15">
        <f>ROUND((I72-20.4)/20.4*100,2)</f>
        <v/>
      </c>
      <c r="K72" s="15" t="inlineStr">
        <is>
          <t>Normal</t>
        </is>
      </c>
    </row>
    <row r="73" ht="15" customHeight="1" s="11">
      <c r="A73" s="14" t="n">
        <v>72</v>
      </c>
      <c r="B73" s="14" t="inlineStr">
        <is>
          <t>COW003</t>
        </is>
      </c>
      <c r="C73" s="14" t="inlineStr">
        <is>
          <t>RFID100003</t>
        </is>
      </c>
      <c r="D73" s="14" t="inlineStr">
        <is>
          <t>2024-01-12</t>
        </is>
      </c>
      <c r="E73" s="14" t="inlineStr">
        <is>
          <t>08:00</t>
        </is>
      </c>
      <c r="F73" s="14" t="n">
        <v>6.57</v>
      </c>
      <c r="G73" s="14" t="n">
        <v>5.84</v>
      </c>
      <c r="H73" s="14" t="n">
        <v>6.18</v>
      </c>
      <c r="I73" s="15">
        <f>F73+G73+H73</f>
        <v/>
      </c>
      <c r="J73" s="15">
        <f>ROUND((I73-20.4)/20.4*100,2)</f>
        <v/>
      </c>
      <c r="K73" s="15" t="inlineStr">
        <is>
          <t>Normal</t>
        </is>
      </c>
    </row>
    <row r="74" ht="15" customHeight="1" s="11">
      <c r="A74" s="13" t="n">
        <v>73</v>
      </c>
      <c r="B74" s="13" t="inlineStr">
        <is>
          <t>COW003</t>
        </is>
      </c>
      <c r="C74" s="13" t="inlineStr">
        <is>
          <t>RFID100003</t>
        </is>
      </c>
      <c r="D74" s="13" t="inlineStr">
        <is>
          <t>2024-01-13</t>
        </is>
      </c>
      <c r="E74" s="13" t="inlineStr">
        <is>
          <t>08:00</t>
        </is>
      </c>
      <c r="F74" s="13" t="n">
        <v>6.56</v>
      </c>
      <c r="G74" s="13" t="n">
        <v>6.23</v>
      </c>
      <c r="H74" s="13" t="n">
        <v>6.59</v>
      </c>
      <c r="I74" s="15">
        <f>F74+G74+H74</f>
        <v/>
      </c>
      <c r="J74" s="15">
        <f>ROUND((I74-20.4)/20.4*100,2)</f>
        <v/>
      </c>
      <c r="K74" s="15" t="inlineStr">
        <is>
          <t>Normal</t>
        </is>
      </c>
    </row>
    <row r="75" ht="15" customHeight="1" s="11">
      <c r="A75" s="14" t="n">
        <v>74</v>
      </c>
      <c r="B75" s="14" t="inlineStr">
        <is>
          <t>COW003</t>
        </is>
      </c>
      <c r="C75" s="14" t="inlineStr">
        <is>
          <t>RFID100003</t>
        </is>
      </c>
      <c r="D75" s="14" t="inlineStr">
        <is>
          <t>2024-01-14</t>
        </is>
      </c>
      <c r="E75" s="14" t="inlineStr">
        <is>
          <t>08:00</t>
        </is>
      </c>
      <c r="F75" s="14" t="n">
        <v>6.35</v>
      </c>
      <c r="G75" s="14" t="n">
        <v>6.09</v>
      </c>
      <c r="H75" s="14" t="n">
        <v>6.84</v>
      </c>
      <c r="I75" s="15">
        <f>F75+G75+H75</f>
        <v/>
      </c>
      <c r="J75" s="15">
        <f>ROUND((I75-20.4)/20.4*100,2)</f>
        <v/>
      </c>
      <c r="K75" s="15" t="inlineStr">
        <is>
          <t>Normal</t>
        </is>
      </c>
    </row>
    <row r="76" ht="15" customHeight="1" s="11">
      <c r="A76" s="13" t="n">
        <v>75</v>
      </c>
      <c r="B76" s="13" t="inlineStr">
        <is>
          <t>COW003</t>
        </is>
      </c>
      <c r="C76" s="13" t="inlineStr">
        <is>
          <t>RFID100003</t>
        </is>
      </c>
      <c r="D76" s="13" t="inlineStr">
        <is>
          <t>2024-01-15</t>
        </is>
      </c>
      <c r="E76" s="13" t="inlineStr">
        <is>
          <t>08:00</t>
        </is>
      </c>
      <c r="F76" s="13" t="n">
        <v>7.27</v>
      </c>
      <c r="G76" s="13" t="n">
        <v>5.82</v>
      </c>
      <c r="H76" s="13" t="n">
        <v>6.38</v>
      </c>
      <c r="I76" s="15">
        <f>F76+G76+H76</f>
        <v/>
      </c>
      <c r="J76" s="15">
        <f>ROUND((I76-20.4)/20.4*100,2)</f>
        <v/>
      </c>
      <c r="K76" s="15" t="inlineStr">
        <is>
          <t>Normal</t>
        </is>
      </c>
    </row>
    <row r="77" ht="15" customHeight="1" s="11">
      <c r="A77" s="14" t="n">
        <v>76</v>
      </c>
      <c r="B77" s="14" t="inlineStr">
        <is>
          <t>COW003</t>
        </is>
      </c>
      <c r="C77" s="14" t="inlineStr">
        <is>
          <t>RFID100003</t>
        </is>
      </c>
      <c r="D77" s="14" t="inlineStr">
        <is>
          <t>2024-01-16</t>
        </is>
      </c>
      <c r="E77" s="14" t="inlineStr">
        <is>
          <t>08:00</t>
        </is>
      </c>
      <c r="F77" s="14" t="n">
        <v>7.01</v>
      </c>
      <c r="G77" s="14" t="n">
        <v>6.39</v>
      </c>
      <c r="H77" s="14" t="n">
        <v>6.05</v>
      </c>
      <c r="I77" s="15">
        <f>F77+G77+H77</f>
        <v/>
      </c>
      <c r="J77" s="15">
        <f>ROUND((I77-20.4)/20.4*100,2)</f>
        <v/>
      </c>
      <c r="K77" s="15" t="inlineStr">
        <is>
          <t>Normal</t>
        </is>
      </c>
    </row>
    <row r="78" ht="15" customHeight="1" s="11">
      <c r="A78" s="13" t="n">
        <v>77</v>
      </c>
      <c r="B78" s="13" t="inlineStr">
        <is>
          <t>COW003</t>
        </is>
      </c>
      <c r="C78" s="13" t="inlineStr">
        <is>
          <t>RFID100003</t>
        </is>
      </c>
      <c r="D78" s="13" t="inlineStr">
        <is>
          <t>2024-01-17</t>
        </is>
      </c>
      <c r="E78" s="13" t="inlineStr">
        <is>
          <t>08:00</t>
        </is>
      </c>
      <c r="F78" s="13" t="n">
        <v>6.81</v>
      </c>
      <c r="G78" s="13" t="n">
        <v>7.19</v>
      </c>
      <c r="H78" s="13" t="n">
        <v>6.67</v>
      </c>
      <c r="I78" s="15">
        <f>F78+G78+H78</f>
        <v/>
      </c>
      <c r="J78" s="15">
        <f>ROUND((I78-20.4)/20.4*100,2)</f>
        <v/>
      </c>
      <c r="K78" s="15" t="inlineStr">
        <is>
          <t>Normal</t>
        </is>
      </c>
    </row>
    <row r="79" ht="15" customHeight="1" s="11">
      <c r="A79" s="14" t="n">
        <v>78</v>
      </c>
      <c r="B79" s="14" t="inlineStr">
        <is>
          <t>COW003</t>
        </is>
      </c>
      <c r="C79" s="14" t="inlineStr">
        <is>
          <t>RFID100003</t>
        </is>
      </c>
      <c r="D79" s="14" t="inlineStr">
        <is>
          <t>2024-01-18</t>
        </is>
      </c>
      <c r="E79" s="14" t="inlineStr">
        <is>
          <t>08:00</t>
        </is>
      </c>
      <c r="F79" s="14" t="n">
        <v>7.26</v>
      </c>
      <c r="G79" s="14" t="n">
        <v>7.11</v>
      </c>
      <c r="H79" s="14" t="n">
        <v>6.96</v>
      </c>
      <c r="I79" s="15">
        <f>F79+G79+H79</f>
        <v/>
      </c>
      <c r="J79" s="15">
        <f>ROUND((I79-20.4)/20.4*100,2)</f>
        <v/>
      </c>
      <c r="K79" s="15" t="inlineStr">
        <is>
          <t>Normal</t>
        </is>
      </c>
    </row>
    <row r="80" ht="15" customHeight="1" s="11">
      <c r="A80" s="13" t="n">
        <v>79</v>
      </c>
      <c r="B80" s="13" t="inlineStr">
        <is>
          <t>COW003</t>
        </is>
      </c>
      <c r="C80" s="13" t="inlineStr">
        <is>
          <t>RFID100003</t>
        </is>
      </c>
      <c r="D80" s="13" t="inlineStr">
        <is>
          <t>2024-01-19</t>
        </is>
      </c>
      <c r="E80" s="13" t="inlineStr">
        <is>
          <t>08:00</t>
        </is>
      </c>
      <c r="F80" s="13" t="n">
        <v>6.74</v>
      </c>
      <c r="G80" s="13" t="n">
        <v>5.72</v>
      </c>
      <c r="H80" s="13" t="n">
        <v>6.29</v>
      </c>
      <c r="I80" s="15">
        <f>F80+G80+H80</f>
        <v/>
      </c>
      <c r="J80" s="15">
        <f>ROUND((I80-20.4)/20.4*100,2)</f>
        <v/>
      </c>
      <c r="K80" s="15" t="inlineStr">
        <is>
          <t>Normal</t>
        </is>
      </c>
    </row>
    <row r="81" ht="15" customHeight="1" s="11">
      <c r="A81" s="14" t="n">
        <v>80</v>
      </c>
      <c r="B81" s="14" t="inlineStr">
        <is>
          <t>COW003</t>
        </is>
      </c>
      <c r="C81" s="14" t="inlineStr">
        <is>
          <t>RFID100003</t>
        </is>
      </c>
      <c r="D81" s="14" t="inlineStr">
        <is>
          <t>2024-01-20</t>
        </is>
      </c>
      <c r="E81" s="14" t="inlineStr">
        <is>
          <t>08:00</t>
        </is>
      </c>
      <c r="F81" s="14" t="n">
        <v>7.35</v>
      </c>
      <c r="G81" s="14" t="n">
        <v>7.1</v>
      </c>
      <c r="H81" s="14" t="n">
        <v>7.27</v>
      </c>
      <c r="I81" s="15">
        <f>F81+G81+H81</f>
        <v/>
      </c>
      <c r="J81" s="15">
        <f>ROUND((I81-20.4)/20.4*100,2)</f>
        <v/>
      </c>
      <c r="K81" s="15" t="inlineStr">
        <is>
          <t>Normal</t>
        </is>
      </c>
    </row>
    <row r="82" ht="15" customHeight="1" s="11">
      <c r="A82" s="13" t="n">
        <v>81</v>
      </c>
      <c r="B82" s="13" t="inlineStr">
        <is>
          <t>COW003</t>
        </is>
      </c>
      <c r="C82" s="13" t="inlineStr">
        <is>
          <t>RFID100003</t>
        </is>
      </c>
      <c r="D82" s="13" t="inlineStr">
        <is>
          <t>2024-01-21</t>
        </is>
      </c>
      <c r="E82" s="13" t="inlineStr">
        <is>
          <t>08:00</t>
        </is>
      </c>
      <c r="F82" s="13" t="n">
        <v>6.8</v>
      </c>
      <c r="G82" s="13" t="n">
        <v>6.93</v>
      </c>
      <c r="H82" s="13" t="n">
        <v>6.6</v>
      </c>
      <c r="I82" s="15">
        <f>F82+G82+H82</f>
        <v/>
      </c>
      <c r="J82" s="15">
        <f>ROUND((I82-20.4)/20.4*100,2)</f>
        <v/>
      </c>
      <c r="K82" s="15" t="inlineStr">
        <is>
          <t>Normal</t>
        </is>
      </c>
    </row>
    <row r="83" ht="15" customHeight="1" s="11">
      <c r="A83" s="14" t="n">
        <v>82</v>
      </c>
      <c r="B83" s="14" t="inlineStr">
        <is>
          <t>COW003</t>
        </is>
      </c>
      <c r="C83" s="14" t="inlineStr">
        <is>
          <t>RFID100003</t>
        </is>
      </c>
      <c r="D83" s="14" t="inlineStr">
        <is>
          <t>2024-01-22</t>
        </is>
      </c>
      <c r="E83" s="14" t="inlineStr">
        <is>
          <t>08:00</t>
        </is>
      </c>
      <c r="F83" s="14" t="n">
        <v>7.1</v>
      </c>
      <c r="G83" s="14" t="n">
        <v>6.07</v>
      </c>
      <c r="H83" s="14" t="n">
        <v>6.07</v>
      </c>
      <c r="I83" s="15">
        <f>F83+G83+H83</f>
        <v/>
      </c>
      <c r="J83" s="15">
        <f>ROUND((I83-20.4)/20.4*100,2)</f>
        <v/>
      </c>
      <c r="K83" s="15" t="inlineStr">
        <is>
          <t>Normal</t>
        </is>
      </c>
    </row>
    <row r="84" ht="15" customHeight="1" s="11">
      <c r="A84" s="13" t="n">
        <v>83</v>
      </c>
      <c r="B84" s="13" t="inlineStr">
        <is>
          <t>COW003</t>
        </is>
      </c>
      <c r="C84" s="13" t="inlineStr">
        <is>
          <t>RFID100003</t>
        </is>
      </c>
      <c r="D84" s="13" t="inlineStr">
        <is>
          <t>2024-01-23</t>
        </is>
      </c>
      <c r="E84" s="13" t="inlineStr">
        <is>
          <t>08:00</t>
        </is>
      </c>
      <c r="F84" s="13" t="n">
        <v>6.83</v>
      </c>
      <c r="G84" s="13" t="n">
        <v>5.76</v>
      </c>
      <c r="H84" s="13" t="n">
        <v>6.26</v>
      </c>
      <c r="I84" s="15">
        <f>F84+G84+H84</f>
        <v/>
      </c>
      <c r="J84" s="15">
        <f>ROUND((I84-20.4)/20.4*100,2)</f>
        <v/>
      </c>
      <c r="K84" s="15" t="inlineStr">
        <is>
          <t>Normal</t>
        </is>
      </c>
    </row>
    <row r="85" ht="15" customHeight="1" s="11">
      <c r="A85" s="14" t="n">
        <v>84</v>
      </c>
      <c r="B85" s="14" t="inlineStr">
        <is>
          <t>COW003</t>
        </is>
      </c>
      <c r="C85" s="14" t="inlineStr">
        <is>
          <t>RFID100003</t>
        </is>
      </c>
      <c r="D85" s="14" t="inlineStr">
        <is>
          <t>2024-01-24</t>
        </is>
      </c>
      <c r="E85" s="14" t="inlineStr">
        <is>
          <t>08:00</t>
        </is>
      </c>
      <c r="F85" s="14" t="n">
        <v>7.23</v>
      </c>
      <c r="G85" s="14" t="n">
        <v>6.37</v>
      </c>
      <c r="H85" s="14" t="n">
        <v>5.98</v>
      </c>
      <c r="I85" s="15">
        <f>F85+G85+H85</f>
        <v/>
      </c>
      <c r="J85" s="15">
        <f>ROUND((I85-20.4)/20.4*100,2)</f>
        <v/>
      </c>
      <c r="K85" s="15" t="inlineStr">
        <is>
          <t>Normal</t>
        </is>
      </c>
    </row>
    <row r="86" ht="15" customHeight="1" s="11">
      <c r="A86" s="13" t="n">
        <v>85</v>
      </c>
      <c r="B86" s="13" t="inlineStr">
        <is>
          <t>COW003</t>
        </is>
      </c>
      <c r="C86" s="13" t="inlineStr">
        <is>
          <t>RFID100003</t>
        </is>
      </c>
      <c r="D86" s="13" t="inlineStr">
        <is>
          <t>2024-01-25</t>
        </is>
      </c>
      <c r="E86" s="13" t="inlineStr">
        <is>
          <t>08:00</t>
        </is>
      </c>
      <c r="F86" s="13" t="n">
        <v>6.88</v>
      </c>
      <c r="G86" s="13" t="n">
        <v>5.92</v>
      </c>
      <c r="H86" s="13" t="n">
        <v>6.73</v>
      </c>
      <c r="I86" s="15">
        <f>F86+G86+H86</f>
        <v/>
      </c>
      <c r="J86" s="15">
        <f>ROUND((I86-20.4)/20.4*100,2)</f>
        <v/>
      </c>
      <c r="K86" s="15" t="inlineStr">
        <is>
          <t>Normal</t>
        </is>
      </c>
    </row>
    <row r="87" ht="15" customHeight="1" s="11">
      <c r="A87" s="14" t="n">
        <v>86</v>
      </c>
      <c r="B87" s="14" t="inlineStr">
        <is>
          <t>COW003</t>
        </is>
      </c>
      <c r="C87" s="14" t="inlineStr">
        <is>
          <t>RFID100003</t>
        </is>
      </c>
      <c r="D87" s="14" t="inlineStr">
        <is>
          <t>2024-01-26</t>
        </is>
      </c>
      <c r="E87" s="14" t="inlineStr">
        <is>
          <t>08:00</t>
        </is>
      </c>
      <c r="F87" s="14" t="n">
        <v>6.16</v>
      </c>
      <c r="G87" s="14" t="n">
        <v>6.36</v>
      </c>
      <c r="H87" s="14" t="n">
        <v>6.63</v>
      </c>
      <c r="I87" s="15">
        <f>F87+G87+H87</f>
        <v/>
      </c>
      <c r="J87" s="15">
        <f>ROUND((I87-20.4)/20.4*100,2)</f>
        <v/>
      </c>
      <c r="K87" s="15" t="inlineStr">
        <is>
          <t>Normal</t>
        </is>
      </c>
    </row>
    <row r="88" ht="15" customHeight="1" s="11">
      <c r="A88" s="13" t="n">
        <v>87</v>
      </c>
      <c r="B88" s="13" t="inlineStr">
        <is>
          <t>COW003</t>
        </is>
      </c>
      <c r="C88" s="13" t="inlineStr">
        <is>
          <t>RFID100003</t>
        </is>
      </c>
      <c r="D88" s="13" t="inlineStr">
        <is>
          <t>2024-01-27</t>
        </is>
      </c>
      <c r="E88" s="13" t="inlineStr">
        <is>
          <t>08:00</t>
        </is>
      </c>
      <c r="F88" s="13" t="n">
        <v>6.16</v>
      </c>
      <c r="G88" s="13" t="n">
        <v>6.76</v>
      </c>
      <c r="H88" s="13" t="n">
        <v>5.93</v>
      </c>
      <c r="I88" s="15">
        <f>F88+G88+H88</f>
        <v/>
      </c>
      <c r="J88" s="15">
        <f>ROUND((I88-20.4)/20.4*100,2)</f>
        <v/>
      </c>
      <c r="K88" s="15" t="inlineStr">
        <is>
          <t>Normal</t>
        </is>
      </c>
    </row>
    <row r="89" ht="15" customHeight="1" s="11">
      <c r="A89" s="14" t="n">
        <v>88</v>
      </c>
      <c r="B89" s="14" t="inlineStr">
        <is>
          <t>COW003</t>
        </is>
      </c>
      <c r="C89" s="14" t="inlineStr">
        <is>
          <t>RFID100003</t>
        </is>
      </c>
      <c r="D89" s="14" t="inlineStr">
        <is>
          <t>2024-01-28</t>
        </is>
      </c>
      <c r="E89" s="14" t="inlineStr">
        <is>
          <t>08:00</t>
        </is>
      </c>
      <c r="F89" s="14" t="n">
        <v>6.87</v>
      </c>
      <c r="G89" s="14" t="n">
        <v>5.79</v>
      </c>
      <c r="H89" s="14" t="n">
        <v>6.33</v>
      </c>
      <c r="I89" s="15">
        <f>F89+G89+H89</f>
        <v/>
      </c>
      <c r="J89" s="15">
        <f>ROUND((I89-20.4)/20.4*100,2)</f>
        <v/>
      </c>
      <c r="K89" s="15" t="inlineStr">
        <is>
          <t>Normal</t>
        </is>
      </c>
    </row>
    <row r="90" ht="15" customHeight="1" s="11">
      <c r="A90" s="13" t="n">
        <v>89</v>
      </c>
      <c r="B90" s="13" t="inlineStr">
        <is>
          <t>COW003</t>
        </is>
      </c>
      <c r="C90" s="13" t="inlineStr">
        <is>
          <t>RFID100003</t>
        </is>
      </c>
      <c r="D90" s="13" t="inlineStr">
        <is>
          <t>2024-01-29</t>
        </is>
      </c>
      <c r="E90" s="13" t="inlineStr">
        <is>
          <t>08:00</t>
        </is>
      </c>
      <c r="F90" s="13" t="n">
        <v>6.47</v>
      </c>
      <c r="G90" s="13" t="n">
        <v>6.25</v>
      </c>
      <c r="H90" s="13" t="n">
        <v>6.95</v>
      </c>
      <c r="I90" s="15">
        <f>F90+G90+H90</f>
        <v/>
      </c>
      <c r="J90" s="15">
        <f>ROUND((I90-20.4)/20.4*100,2)</f>
        <v/>
      </c>
      <c r="K90" s="15" t="inlineStr">
        <is>
          <t>Normal</t>
        </is>
      </c>
    </row>
    <row r="91" ht="15" customHeight="1" s="11">
      <c r="A91" s="14" t="n">
        <v>90</v>
      </c>
      <c r="B91" s="14" t="inlineStr">
        <is>
          <t>COW003</t>
        </is>
      </c>
      <c r="C91" s="14" t="inlineStr">
        <is>
          <t>RFID100003</t>
        </is>
      </c>
      <c r="D91" s="14" t="inlineStr">
        <is>
          <t>2024-01-30</t>
        </is>
      </c>
      <c r="E91" s="14" t="inlineStr">
        <is>
          <t>08:00</t>
        </is>
      </c>
      <c r="F91" s="14" t="n">
        <v>6.74</v>
      </c>
      <c r="G91" s="14" t="n">
        <v>6.94</v>
      </c>
      <c r="H91" s="14" t="n">
        <v>7.07</v>
      </c>
      <c r="I91" s="15">
        <f>F91+G91+H91</f>
        <v/>
      </c>
      <c r="J91" s="15">
        <f>ROUND((I91-20.4)/20.4*100,2)</f>
        <v/>
      </c>
      <c r="K91" s="15" t="inlineStr">
        <is>
          <t>Normal</t>
        </is>
      </c>
    </row>
    <row r="92" ht="15" customHeight="1" s="11">
      <c r="A92" s="13" t="n">
        <v>91</v>
      </c>
      <c r="B92" s="13" t="inlineStr">
        <is>
          <t>COW004</t>
        </is>
      </c>
      <c r="C92" s="13" t="inlineStr">
        <is>
          <t>RFID100004</t>
        </is>
      </c>
      <c r="D92" s="13" t="inlineStr">
        <is>
          <t>2024-01-01</t>
        </is>
      </c>
      <c r="E92" s="13" t="inlineStr">
        <is>
          <t>08:00</t>
        </is>
      </c>
      <c r="F92" s="13" t="n">
        <v>6.28</v>
      </c>
      <c r="G92" s="13" t="n">
        <v>5.77</v>
      </c>
      <c r="H92" s="13" t="n">
        <v>6.62</v>
      </c>
      <c r="I92" s="15">
        <f>F92+G92+H92</f>
        <v/>
      </c>
      <c r="J92" s="15">
        <f>ROUND((I92-20.5)/20.5*100,2)</f>
        <v/>
      </c>
      <c r="K92" s="15" t="inlineStr">
        <is>
          <t>Normal</t>
        </is>
      </c>
    </row>
    <row r="93" ht="15" customHeight="1" s="11">
      <c r="A93" s="14" t="n">
        <v>92</v>
      </c>
      <c r="B93" s="14" t="inlineStr">
        <is>
          <t>COW004</t>
        </is>
      </c>
      <c r="C93" s="14" t="inlineStr">
        <is>
          <t>RFID100004</t>
        </is>
      </c>
      <c r="D93" s="14" t="inlineStr">
        <is>
          <t>2024-01-02</t>
        </is>
      </c>
      <c r="E93" s="14" t="inlineStr">
        <is>
          <t>08:00</t>
        </is>
      </c>
      <c r="F93" s="14" t="n">
        <v>7.79</v>
      </c>
      <c r="G93" s="14" t="n">
        <v>6.31</v>
      </c>
      <c r="H93" s="14" t="n">
        <v>6.81</v>
      </c>
      <c r="I93" s="15">
        <f>F93+G93+H93</f>
        <v/>
      </c>
      <c r="J93" s="15">
        <f>ROUND((I93-20.5)/20.5*100,2)</f>
        <v/>
      </c>
      <c r="K93" s="15" t="inlineStr">
        <is>
          <t>Normal</t>
        </is>
      </c>
    </row>
    <row r="94" ht="15" customHeight="1" s="11">
      <c r="A94" s="13" t="n">
        <v>93</v>
      </c>
      <c r="B94" s="13" t="inlineStr">
        <is>
          <t>COW004</t>
        </is>
      </c>
      <c r="C94" s="13" t="inlineStr">
        <is>
          <t>RFID100004</t>
        </is>
      </c>
      <c r="D94" s="13" t="inlineStr">
        <is>
          <t>2024-01-03</t>
        </is>
      </c>
      <c r="E94" s="13" t="inlineStr">
        <is>
          <t>08:00</t>
        </is>
      </c>
      <c r="F94" s="13" t="n">
        <v>7.43</v>
      </c>
      <c r="G94" s="13" t="n">
        <v>6.81</v>
      </c>
      <c r="H94" s="13" t="n">
        <v>6.98</v>
      </c>
      <c r="I94" s="15">
        <f>F94+G94+H94</f>
        <v/>
      </c>
      <c r="J94" s="15">
        <f>ROUND((I94-20.5)/20.5*100,2)</f>
        <v/>
      </c>
      <c r="K94" s="15" t="inlineStr">
        <is>
          <t>Normal</t>
        </is>
      </c>
    </row>
    <row r="95" ht="15" customHeight="1" s="11">
      <c r="A95" s="14" t="n">
        <v>94</v>
      </c>
      <c r="B95" s="14" t="inlineStr">
        <is>
          <t>COW004</t>
        </is>
      </c>
      <c r="C95" s="14" t="inlineStr">
        <is>
          <t>RFID100004</t>
        </is>
      </c>
      <c r="D95" s="14" t="inlineStr">
        <is>
          <t>2024-01-04</t>
        </is>
      </c>
      <c r="E95" s="14" t="inlineStr">
        <is>
          <t>08:00</t>
        </is>
      </c>
      <c r="F95" s="14" t="n">
        <v>7.71</v>
      </c>
      <c r="G95" s="14" t="n">
        <v>6.07</v>
      </c>
      <c r="H95" s="14" t="n">
        <v>5.77</v>
      </c>
      <c r="I95" s="15">
        <f>F95+G95+H95</f>
        <v/>
      </c>
      <c r="J95" s="15">
        <f>ROUND((I95-20.5)/20.5*100,2)</f>
        <v/>
      </c>
      <c r="K95" s="15" t="inlineStr">
        <is>
          <t>Normal</t>
        </is>
      </c>
    </row>
    <row r="96" ht="15" customHeight="1" s="11">
      <c r="A96" s="13" t="n">
        <v>95</v>
      </c>
      <c r="B96" s="13" t="inlineStr">
        <is>
          <t>COW004</t>
        </is>
      </c>
      <c r="C96" s="13" t="inlineStr">
        <is>
          <t>RFID100004</t>
        </is>
      </c>
      <c r="D96" s="13" t="inlineStr">
        <is>
          <t>2024-01-05</t>
        </is>
      </c>
      <c r="E96" s="13" t="inlineStr">
        <is>
          <t>08:00</t>
        </is>
      </c>
      <c r="F96" s="13" t="n">
        <v>6.4</v>
      </c>
      <c r="G96" s="13" t="n">
        <v>5.95</v>
      </c>
      <c r="H96" s="13" t="n">
        <v>6.84</v>
      </c>
      <c r="I96" s="15">
        <f>F96+G96+H96</f>
        <v/>
      </c>
      <c r="J96" s="15">
        <f>ROUND((I96-20.5)/20.5*100,2)</f>
        <v/>
      </c>
      <c r="K96" s="15" t="inlineStr">
        <is>
          <t>Normal</t>
        </is>
      </c>
    </row>
    <row r="97" ht="15" customHeight="1" s="11">
      <c r="A97" s="14" t="n">
        <v>96</v>
      </c>
      <c r="B97" s="14" t="inlineStr">
        <is>
          <t>COW004</t>
        </is>
      </c>
      <c r="C97" s="14" t="inlineStr">
        <is>
          <t>RFID100004</t>
        </is>
      </c>
      <c r="D97" s="14" t="inlineStr">
        <is>
          <t>2024-01-06</t>
        </is>
      </c>
      <c r="E97" s="14" t="inlineStr">
        <is>
          <t>08:00</t>
        </is>
      </c>
      <c r="F97" s="14" t="n">
        <v>7.07</v>
      </c>
      <c r="G97" s="14" t="n">
        <v>6.1</v>
      </c>
      <c r="H97" s="14" t="n">
        <v>6.89</v>
      </c>
      <c r="I97" s="15">
        <f>F97+G97+H97</f>
        <v/>
      </c>
      <c r="J97" s="15">
        <f>ROUND((I97-20.5)/20.5*100,2)</f>
        <v/>
      </c>
      <c r="K97" s="15" t="inlineStr">
        <is>
          <t>Normal</t>
        </is>
      </c>
    </row>
    <row r="98" ht="15" customHeight="1" s="11">
      <c r="A98" s="13" t="n">
        <v>97</v>
      </c>
      <c r="B98" s="13" t="inlineStr">
        <is>
          <t>COW004</t>
        </is>
      </c>
      <c r="C98" s="13" t="inlineStr">
        <is>
          <t>RFID100004</t>
        </is>
      </c>
      <c r="D98" s="13" t="inlineStr">
        <is>
          <t>2024-01-07</t>
        </is>
      </c>
      <c r="E98" s="13" t="inlineStr">
        <is>
          <t>08:00</t>
        </is>
      </c>
      <c r="F98" s="13" t="n">
        <v>7.41</v>
      </c>
      <c r="G98" s="13" t="n">
        <v>6.02</v>
      </c>
      <c r="H98" s="13" t="n">
        <v>6.74</v>
      </c>
      <c r="I98" s="15">
        <f>F98+G98+H98</f>
        <v/>
      </c>
      <c r="J98" s="15">
        <f>ROUND((I98-20.5)/20.5*100,2)</f>
        <v/>
      </c>
      <c r="K98" s="15" t="inlineStr">
        <is>
          <t>Normal</t>
        </is>
      </c>
    </row>
    <row r="99" ht="15" customHeight="1" s="11">
      <c r="A99" s="14" t="n">
        <v>98</v>
      </c>
      <c r="B99" s="14" t="inlineStr">
        <is>
          <t>COW004</t>
        </is>
      </c>
      <c r="C99" s="14" t="inlineStr">
        <is>
          <t>RFID100004</t>
        </is>
      </c>
      <c r="D99" s="14" t="inlineStr">
        <is>
          <t>2024-01-08</t>
        </is>
      </c>
      <c r="E99" s="14" t="inlineStr">
        <is>
          <t>08:00</t>
        </is>
      </c>
      <c r="F99" s="14" t="n">
        <v>7.38</v>
      </c>
      <c r="G99" s="14" t="n">
        <v>5.93</v>
      </c>
      <c r="H99" s="14" t="n">
        <v>7.08</v>
      </c>
      <c r="I99" s="15">
        <f>F99+G99+H99</f>
        <v/>
      </c>
      <c r="J99" s="15">
        <f>ROUND((I99-20.5)/20.5*100,2)</f>
        <v/>
      </c>
      <c r="K99" s="15" t="inlineStr">
        <is>
          <t>Normal</t>
        </is>
      </c>
    </row>
    <row r="100" ht="15" customHeight="1" s="11">
      <c r="A100" s="13" t="n">
        <v>99</v>
      </c>
      <c r="B100" s="13" t="inlineStr">
        <is>
          <t>COW004</t>
        </is>
      </c>
      <c r="C100" s="13" t="inlineStr">
        <is>
          <t>RFID100004</t>
        </is>
      </c>
      <c r="D100" s="13" t="inlineStr">
        <is>
          <t>2024-01-09</t>
        </is>
      </c>
      <c r="E100" s="13" t="inlineStr">
        <is>
          <t>08:00</t>
        </is>
      </c>
      <c r="F100" s="13" t="n">
        <v>7.73</v>
      </c>
      <c r="G100" s="13" t="n">
        <v>5.92</v>
      </c>
      <c r="H100" s="13" t="n">
        <v>5.78</v>
      </c>
      <c r="I100" s="15">
        <f>F100+G100+H100</f>
        <v/>
      </c>
      <c r="J100" s="15">
        <f>ROUND((I100-20.5)/20.5*100,2)</f>
        <v/>
      </c>
      <c r="K100" s="15" t="inlineStr">
        <is>
          <t>Normal</t>
        </is>
      </c>
    </row>
    <row r="101" ht="15" customHeight="1" s="11">
      <c r="A101" s="14" t="n">
        <v>100</v>
      </c>
      <c r="B101" s="14" t="inlineStr">
        <is>
          <t>COW004</t>
        </is>
      </c>
      <c r="C101" s="14" t="inlineStr">
        <is>
          <t>RFID100004</t>
        </is>
      </c>
      <c r="D101" s="14" t="inlineStr">
        <is>
          <t>2024-01-10</t>
        </is>
      </c>
      <c r="E101" s="14" t="inlineStr">
        <is>
          <t>08:00</t>
        </is>
      </c>
      <c r="F101" s="14" t="n">
        <v>6.66</v>
      </c>
      <c r="G101" s="14" t="n">
        <v>6.85</v>
      </c>
      <c r="H101" s="14" t="n">
        <v>7.31</v>
      </c>
      <c r="I101" s="15">
        <f>F101+G101+H101</f>
        <v/>
      </c>
      <c r="J101" s="15">
        <f>ROUND((I101-20.5)/20.5*100,2)</f>
        <v/>
      </c>
      <c r="K101" s="15" t="inlineStr">
        <is>
          <t>Normal</t>
        </is>
      </c>
    </row>
    <row r="102" ht="15" customHeight="1" s="11">
      <c r="A102" s="13" t="n">
        <v>101</v>
      </c>
      <c r="B102" s="13" t="inlineStr">
        <is>
          <t>COW004</t>
        </is>
      </c>
      <c r="C102" s="13" t="inlineStr">
        <is>
          <t>RFID100004</t>
        </is>
      </c>
      <c r="D102" s="13" t="inlineStr">
        <is>
          <t>2024-01-11</t>
        </is>
      </c>
      <c r="E102" s="13" t="inlineStr">
        <is>
          <t>08:00</t>
        </is>
      </c>
      <c r="F102" s="13" t="n">
        <v>6.8</v>
      </c>
      <c r="G102" s="13" t="n">
        <v>6.91</v>
      </c>
      <c r="H102" s="13" t="n">
        <v>5.86</v>
      </c>
      <c r="I102" s="15">
        <f>F102+G102+H102</f>
        <v/>
      </c>
      <c r="J102" s="15">
        <f>ROUND((I102-20.5)/20.5*100,2)</f>
        <v/>
      </c>
      <c r="K102" s="15" t="inlineStr">
        <is>
          <t>Normal</t>
        </is>
      </c>
    </row>
    <row r="103" ht="15" customHeight="1" s="11">
      <c r="A103" s="14" t="n">
        <v>102</v>
      </c>
      <c r="B103" s="14" t="inlineStr">
        <is>
          <t>COW004</t>
        </is>
      </c>
      <c r="C103" s="14" t="inlineStr">
        <is>
          <t>RFID100004</t>
        </is>
      </c>
      <c r="D103" s="14" t="inlineStr">
        <is>
          <t>2024-01-12</t>
        </is>
      </c>
      <c r="E103" s="14" t="inlineStr">
        <is>
          <t>08:00</t>
        </is>
      </c>
      <c r="F103" s="14" t="n">
        <v>7.28</v>
      </c>
      <c r="G103" s="14" t="n">
        <v>6.77</v>
      </c>
      <c r="H103" s="14" t="n">
        <v>5.91</v>
      </c>
      <c r="I103" s="15">
        <f>F103+G103+H103</f>
        <v/>
      </c>
      <c r="J103" s="15">
        <f>ROUND((I103-20.5)/20.5*100,2)</f>
        <v/>
      </c>
      <c r="K103" s="15" t="inlineStr">
        <is>
          <t>Normal</t>
        </is>
      </c>
    </row>
    <row r="104" ht="15" customHeight="1" s="11">
      <c r="A104" s="13" t="n">
        <v>103</v>
      </c>
      <c r="B104" s="13" t="inlineStr">
        <is>
          <t>COW004</t>
        </is>
      </c>
      <c r="C104" s="13" t="inlineStr">
        <is>
          <t>RFID100004</t>
        </is>
      </c>
      <c r="D104" s="13" t="inlineStr">
        <is>
          <t>2024-01-13</t>
        </is>
      </c>
      <c r="E104" s="13" t="inlineStr">
        <is>
          <t>08:00</t>
        </is>
      </c>
      <c r="F104" s="13" t="n">
        <v>7.42</v>
      </c>
      <c r="G104" s="13" t="n">
        <v>7.13</v>
      </c>
      <c r="H104" s="13" t="n">
        <v>6.72</v>
      </c>
      <c r="I104" s="15">
        <f>F104+G104+H104</f>
        <v/>
      </c>
      <c r="J104" s="15">
        <f>ROUND((I104-20.5)/20.5*100,2)</f>
        <v/>
      </c>
      <c r="K104" s="15" t="inlineStr">
        <is>
          <t>Normal</t>
        </is>
      </c>
    </row>
    <row r="105" ht="15" customHeight="1" s="11">
      <c r="A105" s="14" t="n">
        <v>104</v>
      </c>
      <c r="B105" s="14" t="inlineStr">
        <is>
          <t>COW004</t>
        </is>
      </c>
      <c r="C105" s="14" t="inlineStr">
        <is>
          <t>RFID100004</t>
        </is>
      </c>
      <c r="D105" s="14" t="inlineStr">
        <is>
          <t>2024-01-14</t>
        </is>
      </c>
      <c r="E105" s="14" t="inlineStr">
        <is>
          <t>08:00</t>
        </is>
      </c>
      <c r="F105" s="14" t="n">
        <v>6.35</v>
      </c>
      <c r="G105" s="14" t="n">
        <v>7.35</v>
      </c>
      <c r="H105" s="14" t="n">
        <v>7.02</v>
      </c>
      <c r="I105" s="15">
        <f>F105+G105+H105</f>
        <v/>
      </c>
      <c r="J105" s="15">
        <f>ROUND((I105-20.5)/20.5*100,2)</f>
        <v/>
      </c>
      <c r="K105" s="15" t="inlineStr">
        <is>
          <t>Normal</t>
        </is>
      </c>
    </row>
    <row r="106" ht="15" customHeight="1" s="11">
      <c r="A106" s="13" t="n">
        <v>105</v>
      </c>
      <c r="B106" s="13" t="inlineStr">
        <is>
          <t>COW004</t>
        </is>
      </c>
      <c r="C106" s="13" t="inlineStr">
        <is>
          <t>RFID100004</t>
        </is>
      </c>
      <c r="D106" s="13" t="inlineStr">
        <is>
          <t>2024-01-15</t>
        </is>
      </c>
      <c r="E106" s="13" t="inlineStr">
        <is>
          <t>08:00</t>
        </is>
      </c>
      <c r="F106" s="13" t="n">
        <v>6.72</v>
      </c>
      <c r="G106" s="13" t="n">
        <v>6.44</v>
      </c>
      <c r="H106" s="13" t="n">
        <v>6.35</v>
      </c>
      <c r="I106" s="15">
        <f>F106+G106+H106</f>
        <v/>
      </c>
      <c r="J106" s="15">
        <f>ROUND((I106-20.5)/20.5*100,2)</f>
        <v/>
      </c>
      <c r="K106" s="15" t="inlineStr">
        <is>
          <t>Normal</t>
        </is>
      </c>
    </row>
    <row r="107" ht="15" customHeight="1" s="11">
      <c r="A107" s="14" t="n">
        <v>106</v>
      </c>
      <c r="B107" s="14" t="inlineStr">
        <is>
          <t>COW004</t>
        </is>
      </c>
      <c r="C107" s="14" t="inlineStr">
        <is>
          <t>RFID100004</t>
        </is>
      </c>
      <c r="D107" s="14" t="inlineStr">
        <is>
          <t>2024-01-16</t>
        </is>
      </c>
      <c r="E107" s="14" t="inlineStr">
        <is>
          <t>08:00</t>
        </is>
      </c>
      <c r="F107" s="14" t="n">
        <v>6.98</v>
      </c>
      <c r="G107" s="14" t="n">
        <v>6.3</v>
      </c>
      <c r="H107" s="14" t="n">
        <v>7.13</v>
      </c>
      <c r="I107" s="15">
        <f>F107+G107+H107</f>
        <v/>
      </c>
      <c r="J107" s="15">
        <f>ROUND((I107-20.5)/20.5*100,2)</f>
        <v/>
      </c>
      <c r="K107" s="15" t="inlineStr">
        <is>
          <t>Normal</t>
        </is>
      </c>
    </row>
    <row r="108" ht="15" customHeight="1" s="11">
      <c r="A108" s="13" t="n">
        <v>107</v>
      </c>
      <c r="B108" s="13" t="inlineStr">
        <is>
          <t>COW004</t>
        </is>
      </c>
      <c r="C108" s="13" t="inlineStr">
        <is>
          <t>RFID100004</t>
        </is>
      </c>
      <c r="D108" s="13" t="inlineStr">
        <is>
          <t>2024-01-17</t>
        </is>
      </c>
      <c r="E108" s="13" t="inlineStr">
        <is>
          <t>08:00</t>
        </is>
      </c>
      <c r="F108" s="13" t="n">
        <v>7.5</v>
      </c>
      <c r="G108" s="13" t="n">
        <v>5.91</v>
      </c>
      <c r="H108" s="13" t="n">
        <v>7.32</v>
      </c>
      <c r="I108" s="15">
        <f>F108+G108+H108</f>
        <v/>
      </c>
      <c r="J108" s="15">
        <f>ROUND((I108-20.5)/20.5*100,2)</f>
        <v/>
      </c>
      <c r="K108" s="15" t="inlineStr">
        <is>
          <t>Normal</t>
        </is>
      </c>
    </row>
    <row r="109" ht="15" customHeight="1" s="11">
      <c r="A109" s="14" t="n">
        <v>108</v>
      </c>
      <c r="B109" s="14" t="inlineStr">
        <is>
          <t>COW004</t>
        </is>
      </c>
      <c r="C109" s="14" t="inlineStr">
        <is>
          <t>RFID100004</t>
        </is>
      </c>
      <c r="D109" s="14" t="inlineStr">
        <is>
          <t>2024-01-18</t>
        </is>
      </c>
      <c r="E109" s="14" t="inlineStr">
        <is>
          <t>08:00</t>
        </is>
      </c>
      <c r="F109" s="14" t="n">
        <v>7.19</v>
      </c>
      <c r="G109" s="14" t="n">
        <v>7.1</v>
      </c>
      <c r="H109" s="14" t="n">
        <v>6.9</v>
      </c>
      <c r="I109" s="15">
        <f>F109+G109+H109</f>
        <v/>
      </c>
      <c r="J109" s="15">
        <f>ROUND((I109-20.5)/20.5*100,2)</f>
        <v/>
      </c>
      <c r="K109" s="15" t="inlineStr">
        <is>
          <t>Normal</t>
        </is>
      </c>
    </row>
    <row r="110" ht="15" customHeight="1" s="11">
      <c r="A110" s="13" t="n">
        <v>109</v>
      </c>
      <c r="B110" s="13" t="inlineStr">
        <is>
          <t>COW004</t>
        </is>
      </c>
      <c r="C110" s="13" t="inlineStr">
        <is>
          <t>RFID100004</t>
        </is>
      </c>
      <c r="D110" s="13" t="inlineStr">
        <is>
          <t>2024-01-19</t>
        </is>
      </c>
      <c r="E110" s="13" t="inlineStr">
        <is>
          <t>08:00</t>
        </is>
      </c>
      <c r="F110" s="13" t="n">
        <v>6.86</v>
      </c>
      <c r="G110" s="13" t="n">
        <v>6.94</v>
      </c>
      <c r="H110" s="13" t="n">
        <v>7.32</v>
      </c>
      <c r="I110" s="15">
        <f>F110+G110+H110</f>
        <v/>
      </c>
      <c r="J110" s="15">
        <f>ROUND((I110-20.5)/20.5*100,2)</f>
        <v/>
      </c>
      <c r="K110" s="15" t="inlineStr">
        <is>
          <t>Normal</t>
        </is>
      </c>
    </row>
    <row r="111" ht="15" customHeight="1" s="11">
      <c r="A111" s="14" t="n">
        <v>110</v>
      </c>
      <c r="B111" s="14" t="inlineStr">
        <is>
          <t>COW004</t>
        </is>
      </c>
      <c r="C111" s="14" t="inlineStr">
        <is>
          <t>RFID100004</t>
        </is>
      </c>
      <c r="D111" s="14" t="inlineStr">
        <is>
          <t>2024-01-20</t>
        </is>
      </c>
      <c r="E111" s="14" t="inlineStr">
        <is>
          <t>08:00</t>
        </is>
      </c>
      <c r="F111" s="14" t="n">
        <v>6.59</v>
      </c>
      <c r="G111" s="14" t="n">
        <v>7.07</v>
      </c>
      <c r="H111" s="14" t="n">
        <v>6.62</v>
      </c>
      <c r="I111" s="15">
        <f>F111+G111+H111</f>
        <v/>
      </c>
      <c r="J111" s="15">
        <f>ROUND((I111-20.5)/20.5*100,2)</f>
        <v/>
      </c>
      <c r="K111" s="15" t="inlineStr">
        <is>
          <t>Normal</t>
        </is>
      </c>
    </row>
    <row r="112" ht="15" customHeight="1" s="11">
      <c r="A112" s="13" t="n">
        <v>111</v>
      </c>
      <c r="B112" s="13" t="inlineStr">
        <is>
          <t>COW004</t>
        </is>
      </c>
      <c r="C112" s="13" t="inlineStr">
        <is>
          <t>RFID100004</t>
        </is>
      </c>
      <c r="D112" s="13" t="inlineStr">
        <is>
          <t>2024-01-21</t>
        </is>
      </c>
      <c r="E112" s="13" t="inlineStr">
        <is>
          <t>08:00</t>
        </is>
      </c>
      <c r="F112" s="13" t="n">
        <v>6.94</v>
      </c>
      <c r="G112" s="13" t="n">
        <v>6.45</v>
      </c>
      <c r="H112" s="13" t="n">
        <v>6.94</v>
      </c>
      <c r="I112" s="15">
        <f>F112+G112+H112</f>
        <v/>
      </c>
      <c r="J112" s="15">
        <f>ROUND((I112-20.5)/20.5*100,2)</f>
        <v/>
      </c>
      <c r="K112" s="15" t="inlineStr">
        <is>
          <t>Normal</t>
        </is>
      </c>
    </row>
    <row r="113" ht="15" customHeight="1" s="11">
      <c r="A113" s="14" t="n">
        <v>112</v>
      </c>
      <c r="B113" s="14" t="inlineStr">
        <is>
          <t>COW004</t>
        </is>
      </c>
      <c r="C113" s="14" t="inlineStr">
        <is>
          <t>RFID100004</t>
        </is>
      </c>
      <c r="D113" s="14" t="inlineStr">
        <is>
          <t>2024-01-22</t>
        </is>
      </c>
      <c r="E113" s="14" t="inlineStr">
        <is>
          <t>08:00</t>
        </is>
      </c>
      <c r="F113" s="14" t="n">
        <v>6.59</v>
      </c>
      <c r="G113" s="14" t="n">
        <v>7.14</v>
      </c>
      <c r="H113" s="14" t="n">
        <v>7.1</v>
      </c>
      <c r="I113" s="15">
        <f>F113+G113+H113</f>
        <v/>
      </c>
      <c r="J113" s="15">
        <f>ROUND((I113-20.5)/20.5*100,2)</f>
        <v/>
      </c>
      <c r="K113" s="15" t="inlineStr">
        <is>
          <t>Normal</t>
        </is>
      </c>
    </row>
    <row r="114" ht="15" customHeight="1" s="11">
      <c r="A114" s="13" t="n">
        <v>113</v>
      </c>
      <c r="B114" s="13" t="inlineStr">
        <is>
          <t>COW004</t>
        </is>
      </c>
      <c r="C114" s="13" t="inlineStr">
        <is>
          <t>RFID100004</t>
        </is>
      </c>
      <c r="D114" s="13" t="inlineStr">
        <is>
          <t>2024-01-23</t>
        </is>
      </c>
      <c r="E114" s="13" t="inlineStr">
        <is>
          <t>08:00</t>
        </is>
      </c>
      <c r="F114" s="13" t="n">
        <v>6.29</v>
      </c>
      <c r="G114" s="13" t="n">
        <v>7.19</v>
      </c>
      <c r="H114" s="13" t="n">
        <v>6.14</v>
      </c>
      <c r="I114" s="15">
        <f>F114+G114+H114</f>
        <v/>
      </c>
      <c r="J114" s="15">
        <f>ROUND((I114-20.5)/20.5*100,2)</f>
        <v/>
      </c>
      <c r="K114" s="15" t="inlineStr">
        <is>
          <t>Normal</t>
        </is>
      </c>
    </row>
    <row r="115" ht="15" customHeight="1" s="11">
      <c r="A115" s="14" t="n">
        <v>114</v>
      </c>
      <c r="B115" s="14" t="inlineStr">
        <is>
          <t>COW004</t>
        </is>
      </c>
      <c r="C115" s="14" t="inlineStr">
        <is>
          <t>RFID100004</t>
        </is>
      </c>
      <c r="D115" s="14" t="inlineStr">
        <is>
          <t>2024-01-24</t>
        </is>
      </c>
      <c r="E115" s="14" t="inlineStr">
        <is>
          <t>08:00</t>
        </is>
      </c>
      <c r="F115" s="14" t="n">
        <v>6.91</v>
      </c>
      <c r="G115" s="14" t="n">
        <v>6.74</v>
      </c>
      <c r="H115" s="14" t="n">
        <v>6.36</v>
      </c>
      <c r="I115" s="15">
        <f>F115+G115+H115</f>
        <v/>
      </c>
      <c r="J115" s="15">
        <f>ROUND((I115-20.5)/20.5*100,2)</f>
        <v/>
      </c>
      <c r="K115" s="15" t="inlineStr">
        <is>
          <t>Normal</t>
        </is>
      </c>
    </row>
    <row r="116" ht="15" customHeight="1" s="11">
      <c r="A116" s="13" t="n">
        <v>115</v>
      </c>
      <c r="B116" s="13" t="inlineStr">
        <is>
          <t>COW004</t>
        </is>
      </c>
      <c r="C116" s="13" t="inlineStr">
        <is>
          <t>RFID100004</t>
        </is>
      </c>
      <c r="D116" s="13" t="inlineStr">
        <is>
          <t>2024-01-25</t>
        </is>
      </c>
      <c r="E116" s="13" t="inlineStr">
        <is>
          <t>08:00</t>
        </is>
      </c>
      <c r="F116" s="13" t="n">
        <v>6.2</v>
      </c>
      <c r="G116" s="13" t="n">
        <v>7.14</v>
      </c>
      <c r="H116" s="13" t="n">
        <v>6.04</v>
      </c>
      <c r="I116" s="15">
        <f>F116+G116+H116</f>
        <v/>
      </c>
      <c r="J116" s="15">
        <f>ROUND((I116-20.5)/20.5*100,2)</f>
        <v/>
      </c>
      <c r="K116" s="15" t="inlineStr">
        <is>
          <t>Normal</t>
        </is>
      </c>
    </row>
    <row r="117" ht="15" customHeight="1" s="11">
      <c r="A117" s="14" t="n">
        <v>116</v>
      </c>
      <c r="B117" s="14" t="inlineStr">
        <is>
          <t>COW004</t>
        </is>
      </c>
      <c r="C117" s="14" t="inlineStr">
        <is>
          <t>RFID100004</t>
        </is>
      </c>
      <c r="D117" s="14" t="inlineStr">
        <is>
          <t>2024-01-26</t>
        </is>
      </c>
      <c r="E117" s="14" t="inlineStr">
        <is>
          <t>08:00</t>
        </is>
      </c>
      <c r="F117" s="14" t="n">
        <v>6.5</v>
      </c>
      <c r="G117" s="14" t="n">
        <v>7.05</v>
      </c>
      <c r="H117" s="14" t="n">
        <v>6.3</v>
      </c>
      <c r="I117" s="15">
        <f>F117+G117+H117</f>
        <v/>
      </c>
      <c r="J117" s="15">
        <f>ROUND((I117-20.5)/20.5*100,2)</f>
        <v/>
      </c>
      <c r="K117" s="15" t="inlineStr">
        <is>
          <t>Normal</t>
        </is>
      </c>
    </row>
    <row r="118" ht="15" customHeight="1" s="11">
      <c r="A118" s="13" t="n">
        <v>117</v>
      </c>
      <c r="B118" s="13" t="inlineStr">
        <is>
          <t>COW004</t>
        </is>
      </c>
      <c r="C118" s="13" t="inlineStr">
        <is>
          <t>RFID100004</t>
        </is>
      </c>
      <c r="D118" s="13" t="inlineStr">
        <is>
          <t>2024-01-27</t>
        </is>
      </c>
      <c r="E118" s="13" t="inlineStr">
        <is>
          <t>08:00</t>
        </is>
      </c>
      <c r="F118" s="13" t="n">
        <v>7.59</v>
      </c>
      <c r="G118" s="13" t="n">
        <v>6.89</v>
      </c>
      <c r="H118" s="13" t="n">
        <v>6.19</v>
      </c>
      <c r="I118" s="15">
        <f>F118+G118+H118</f>
        <v/>
      </c>
      <c r="J118" s="15">
        <f>ROUND((I118-20.5)/20.5*100,2)</f>
        <v/>
      </c>
      <c r="K118" s="15" t="inlineStr">
        <is>
          <t>Normal</t>
        </is>
      </c>
    </row>
    <row r="119" ht="15" customHeight="1" s="11">
      <c r="A119" s="14" t="n">
        <v>118</v>
      </c>
      <c r="B119" s="14" t="inlineStr">
        <is>
          <t>COW004</t>
        </is>
      </c>
      <c r="C119" s="14" t="inlineStr">
        <is>
          <t>RFID100004</t>
        </is>
      </c>
      <c r="D119" s="14" t="inlineStr">
        <is>
          <t>2024-01-28</t>
        </is>
      </c>
      <c r="E119" s="14" t="inlineStr">
        <is>
          <t>08:00</t>
        </is>
      </c>
      <c r="F119" s="14" t="n">
        <v>6.17</v>
      </c>
      <c r="G119" s="14" t="n">
        <v>7.29</v>
      </c>
      <c r="H119" s="14" t="n">
        <v>5.88</v>
      </c>
      <c r="I119" s="15">
        <f>F119+G119+H119</f>
        <v/>
      </c>
      <c r="J119" s="15">
        <f>ROUND((I119-20.5)/20.5*100,2)</f>
        <v/>
      </c>
      <c r="K119" s="15" t="inlineStr">
        <is>
          <t>Normal</t>
        </is>
      </c>
    </row>
    <row r="120" ht="15" customHeight="1" s="11">
      <c r="A120" s="13" t="n">
        <v>119</v>
      </c>
      <c r="B120" s="13" t="inlineStr">
        <is>
          <t>COW004</t>
        </is>
      </c>
      <c r="C120" s="13" t="inlineStr">
        <is>
          <t>RFID100004</t>
        </is>
      </c>
      <c r="D120" s="13" t="inlineStr">
        <is>
          <t>2024-01-29</t>
        </is>
      </c>
      <c r="E120" s="13" t="inlineStr">
        <is>
          <t>08:00</t>
        </is>
      </c>
      <c r="F120" s="13" t="n">
        <v>7.33</v>
      </c>
      <c r="G120" s="13" t="n">
        <v>6.54</v>
      </c>
      <c r="H120" s="13" t="n">
        <v>6.98</v>
      </c>
      <c r="I120" s="15">
        <f>F120+G120+H120</f>
        <v/>
      </c>
      <c r="J120" s="15">
        <f>ROUND((I120-20.5)/20.5*100,2)</f>
        <v/>
      </c>
      <c r="K120" s="15" t="inlineStr">
        <is>
          <t>Normal</t>
        </is>
      </c>
    </row>
    <row r="121" ht="15" customHeight="1" s="11">
      <c r="A121" s="14" t="n">
        <v>120</v>
      </c>
      <c r="B121" s="14" t="inlineStr">
        <is>
          <t>COW004</t>
        </is>
      </c>
      <c r="C121" s="14" t="inlineStr">
        <is>
          <t>RFID100004</t>
        </is>
      </c>
      <c r="D121" s="14" t="inlineStr">
        <is>
          <t>2024-01-30</t>
        </is>
      </c>
      <c r="E121" s="14" t="inlineStr">
        <is>
          <t>08:00</t>
        </is>
      </c>
      <c r="F121" s="14" t="n">
        <v>7.28</v>
      </c>
      <c r="G121" s="14" t="n">
        <v>6.8</v>
      </c>
      <c r="H121" s="14" t="n">
        <v>6.54</v>
      </c>
      <c r="I121" s="15">
        <f>F121+G121+H121</f>
        <v/>
      </c>
      <c r="J121" s="15">
        <f>ROUND((I121-20.5)/20.5*100,2)</f>
        <v/>
      </c>
      <c r="K121" s="15" t="inlineStr">
        <is>
          <t>Normal</t>
        </is>
      </c>
    </row>
    <row r="122" ht="15" customHeight="1" s="11">
      <c r="A122" s="13" t="n">
        <v>121</v>
      </c>
      <c r="B122" s="13" t="inlineStr">
        <is>
          <t>COW005</t>
        </is>
      </c>
      <c r="C122" s="13" t="inlineStr">
        <is>
          <t>RFID100005</t>
        </is>
      </c>
      <c r="D122" s="13" t="inlineStr">
        <is>
          <t>2024-01-01</t>
        </is>
      </c>
      <c r="E122" s="13" t="inlineStr">
        <is>
          <t>08:00</t>
        </is>
      </c>
      <c r="F122" s="13" t="n">
        <v>7.96</v>
      </c>
      <c r="G122" s="13" t="n">
        <v>7.71</v>
      </c>
      <c r="H122" s="13" t="n">
        <v>8.69</v>
      </c>
      <c r="I122" s="15">
        <f>F122+G122+H122</f>
        <v/>
      </c>
      <c r="J122" s="15">
        <f>ROUND((I122-25.9)/25.9*100,2)</f>
        <v/>
      </c>
      <c r="K122" s="15" t="inlineStr">
        <is>
          <t>Normal</t>
        </is>
      </c>
    </row>
    <row r="123" ht="15" customHeight="1" s="11">
      <c r="A123" s="14" t="n">
        <v>122</v>
      </c>
      <c r="B123" s="14" t="inlineStr">
        <is>
          <t>COW005</t>
        </is>
      </c>
      <c r="C123" s="14" t="inlineStr">
        <is>
          <t>RFID100005</t>
        </is>
      </c>
      <c r="D123" s="14" t="inlineStr">
        <is>
          <t>2024-01-02</t>
        </is>
      </c>
      <c r="E123" s="14" t="inlineStr">
        <is>
          <t>08:00</t>
        </is>
      </c>
      <c r="F123" s="14" t="n">
        <v>8.4</v>
      </c>
      <c r="G123" s="14" t="n">
        <v>8.460000000000001</v>
      </c>
      <c r="H123" s="14" t="n">
        <v>8.23</v>
      </c>
      <c r="I123" s="15">
        <f>F123+G123+H123</f>
        <v/>
      </c>
      <c r="J123" s="15">
        <f>ROUND((I123-25.9)/25.9*100,2)</f>
        <v/>
      </c>
      <c r="K123" s="15" t="inlineStr">
        <is>
          <t>Normal</t>
        </is>
      </c>
    </row>
    <row r="124" ht="15" customHeight="1" s="11">
      <c r="A124" s="13" t="n">
        <v>123</v>
      </c>
      <c r="B124" s="13" t="inlineStr">
        <is>
          <t>COW005</t>
        </is>
      </c>
      <c r="C124" s="13" t="inlineStr">
        <is>
          <t>RFID100005</t>
        </is>
      </c>
      <c r="D124" s="13" t="inlineStr">
        <is>
          <t>2024-01-03</t>
        </is>
      </c>
      <c r="E124" s="13" t="inlineStr">
        <is>
          <t>08:00</t>
        </is>
      </c>
      <c r="F124" s="13" t="n">
        <v>8.869999999999999</v>
      </c>
      <c r="G124" s="13" t="n">
        <v>8.130000000000001</v>
      </c>
      <c r="H124" s="13" t="n">
        <v>8.800000000000001</v>
      </c>
      <c r="I124" s="15">
        <f>F124+G124+H124</f>
        <v/>
      </c>
      <c r="J124" s="15">
        <f>ROUND((I124-25.9)/25.9*100,2)</f>
        <v/>
      </c>
      <c r="K124" s="15" t="inlineStr">
        <is>
          <t>Normal</t>
        </is>
      </c>
    </row>
    <row r="125" ht="15" customHeight="1" s="11">
      <c r="A125" s="14" t="n">
        <v>124</v>
      </c>
      <c r="B125" s="14" t="inlineStr">
        <is>
          <t>COW005</t>
        </is>
      </c>
      <c r="C125" s="14" t="inlineStr">
        <is>
          <t>RFID100005</t>
        </is>
      </c>
      <c r="D125" s="14" t="inlineStr">
        <is>
          <t>2024-01-04</t>
        </is>
      </c>
      <c r="E125" s="14" t="inlineStr">
        <is>
          <t>08:00</t>
        </is>
      </c>
      <c r="F125" s="14" t="n">
        <v>8.460000000000001</v>
      </c>
      <c r="G125" s="14" t="n">
        <v>8.710000000000001</v>
      </c>
      <c r="H125" s="14" t="n">
        <v>7.81</v>
      </c>
      <c r="I125" s="15">
        <f>F125+G125+H125</f>
        <v/>
      </c>
      <c r="J125" s="15">
        <f>ROUND((I125-25.9)/25.9*100,2)</f>
        <v/>
      </c>
      <c r="K125" s="15" t="inlineStr">
        <is>
          <t>Normal</t>
        </is>
      </c>
    </row>
    <row r="126" ht="15" customHeight="1" s="11">
      <c r="A126" s="13" t="n">
        <v>125</v>
      </c>
      <c r="B126" s="13" t="inlineStr">
        <is>
          <t>COW005</t>
        </is>
      </c>
      <c r="C126" s="13" t="inlineStr">
        <is>
          <t>RFID100005</t>
        </is>
      </c>
      <c r="D126" s="13" t="inlineStr">
        <is>
          <t>2024-01-05</t>
        </is>
      </c>
      <c r="E126" s="13" t="inlineStr">
        <is>
          <t>08:00</t>
        </is>
      </c>
      <c r="F126" s="13" t="n">
        <v>8.289999999999999</v>
      </c>
      <c r="G126" s="13" t="n">
        <v>7.5</v>
      </c>
      <c r="H126" s="13" t="n">
        <v>7.65</v>
      </c>
      <c r="I126" s="15">
        <f>F126+G126+H126</f>
        <v/>
      </c>
      <c r="J126" s="15">
        <f>ROUND((I126-25.9)/25.9*100,2)</f>
        <v/>
      </c>
      <c r="K126" s="15" t="inlineStr">
        <is>
          <t>Low intake</t>
        </is>
      </c>
    </row>
    <row r="127" ht="15" customHeight="1" s="11">
      <c r="A127" s="14" t="n">
        <v>126</v>
      </c>
      <c r="B127" s="14" t="inlineStr">
        <is>
          <t>COW005</t>
        </is>
      </c>
      <c r="C127" s="14" t="inlineStr">
        <is>
          <t>RFID100005</t>
        </is>
      </c>
      <c r="D127" s="14" t="inlineStr">
        <is>
          <t>2024-01-06</t>
        </is>
      </c>
      <c r="E127" s="14" t="inlineStr">
        <is>
          <t>08:00</t>
        </is>
      </c>
      <c r="F127" s="14" t="n">
        <v>8.02</v>
      </c>
      <c r="G127" s="14" t="n">
        <v>8.359999999999999</v>
      </c>
      <c r="H127" s="14" t="n">
        <v>8.83</v>
      </c>
      <c r="I127" s="15">
        <f>F127+G127+H127</f>
        <v/>
      </c>
      <c r="J127" s="15">
        <f>ROUND((I127-25.9)/25.9*100,2)</f>
        <v/>
      </c>
      <c r="K127" s="15" t="inlineStr">
        <is>
          <t>Normal</t>
        </is>
      </c>
    </row>
    <row r="128" ht="15" customHeight="1" s="11">
      <c r="A128" s="13" t="n">
        <v>127</v>
      </c>
      <c r="B128" s="13" t="inlineStr">
        <is>
          <t>COW005</t>
        </is>
      </c>
      <c r="C128" s="13" t="inlineStr">
        <is>
          <t>RFID100005</t>
        </is>
      </c>
      <c r="D128" s="13" t="inlineStr">
        <is>
          <t>2024-01-07</t>
        </is>
      </c>
      <c r="E128" s="13" t="inlineStr">
        <is>
          <t>08:00</t>
        </is>
      </c>
      <c r="F128" s="13" t="n">
        <v>8.15</v>
      </c>
      <c r="G128" s="13" t="n">
        <v>7.7</v>
      </c>
      <c r="H128" s="13" t="n">
        <v>8.26</v>
      </c>
      <c r="I128" s="15">
        <f>F128+G128+H128</f>
        <v/>
      </c>
      <c r="J128" s="15">
        <f>ROUND((I128-25.9)/25.9*100,2)</f>
        <v/>
      </c>
      <c r="K128" s="15" t="inlineStr">
        <is>
          <t>Normal</t>
        </is>
      </c>
    </row>
    <row r="129" ht="15" customHeight="1" s="11">
      <c r="A129" s="14" t="n">
        <v>128</v>
      </c>
      <c r="B129" s="14" t="inlineStr">
        <is>
          <t>COW005</t>
        </is>
      </c>
      <c r="C129" s="14" t="inlineStr">
        <is>
          <t>RFID100005</t>
        </is>
      </c>
      <c r="D129" s="14" t="inlineStr">
        <is>
          <t>2024-01-08</t>
        </is>
      </c>
      <c r="E129" s="14" t="inlineStr">
        <is>
          <t>08:00</t>
        </is>
      </c>
      <c r="F129" s="14" t="n">
        <v>9.27</v>
      </c>
      <c r="G129" s="14" t="n">
        <v>9.279999999999999</v>
      </c>
      <c r="H129" s="14" t="n">
        <v>8.34</v>
      </c>
      <c r="I129" s="15">
        <f>F129+G129+H129</f>
        <v/>
      </c>
      <c r="J129" s="15">
        <f>ROUND((I129-25.9)/25.9*100,2)</f>
        <v/>
      </c>
      <c r="K129" s="15" t="inlineStr">
        <is>
          <t>Normal</t>
        </is>
      </c>
    </row>
    <row r="130" ht="15" customHeight="1" s="11">
      <c r="A130" s="13" t="n">
        <v>129</v>
      </c>
      <c r="B130" s="13" t="inlineStr">
        <is>
          <t>COW005</t>
        </is>
      </c>
      <c r="C130" s="13" t="inlineStr">
        <is>
          <t>RFID100005</t>
        </is>
      </c>
      <c r="D130" s="13" t="inlineStr">
        <is>
          <t>2024-01-09</t>
        </is>
      </c>
      <c r="E130" s="13" t="inlineStr">
        <is>
          <t>08:00</t>
        </is>
      </c>
      <c r="F130" s="13" t="n">
        <v>8.359999999999999</v>
      </c>
      <c r="G130" s="13" t="n">
        <v>7.46</v>
      </c>
      <c r="H130" s="13" t="n">
        <v>7.65</v>
      </c>
      <c r="I130" s="15">
        <f>F130+G130+H130</f>
        <v/>
      </c>
      <c r="J130" s="15">
        <f>ROUND((I130-25.9)/25.9*100,2)</f>
        <v/>
      </c>
      <c r="K130" s="15" t="inlineStr">
        <is>
          <t>Low intake</t>
        </is>
      </c>
    </row>
    <row r="131" ht="15" customHeight="1" s="11">
      <c r="A131" s="14" t="n">
        <v>130</v>
      </c>
      <c r="B131" s="14" t="inlineStr">
        <is>
          <t>COW005</t>
        </is>
      </c>
      <c r="C131" s="14" t="inlineStr">
        <is>
          <t>RFID100005</t>
        </is>
      </c>
      <c r="D131" s="14" t="inlineStr">
        <is>
          <t>2024-01-10</t>
        </is>
      </c>
      <c r="E131" s="14" t="inlineStr">
        <is>
          <t>08:00</t>
        </is>
      </c>
      <c r="F131" s="14" t="n">
        <v>8.24</v>
      </c>
      <c r="G131" s="14" t="n">
        <v>7.62</v>
      </c>
      <c r="H131" s="14" t="n">
        <v>7.28</v>
      </c>
      <c r="I131" s="15">
        <f>F131+G131+H131</f>
        <v/>
      </c>
      <c r="J131" s="15">
        <f>ROUND((I131-25.9)/25.9*100,2)</f>
        <v/>
      </c>
      <c r="K131" s="15" t="inlineStr">
        <is>
          <t>Low intake</t>
        </is>
      </c>
    </row>
    <row r="132" ht="15" customHeight="1" s="11">
      <c r="A132" s="13" t="n">
        <v>131</v>
      </c>
      <c r="B132" s="13" t="inlineStr">
        <is>
          <t>COW005</t>
        </is>
      </c>
      <c r="C132" s="13" t="inlineStr">
        <is>
          <t>RFID100005</t>
        </is>
      </c>
      <c r="D132" s="13" t="inlineStr">
        <is>
          <t>2024-01-11</t>
        </is>
      </c>
      <c r="E132" s="13" t="inlineStr">
        <is>
          <t>08:00</t>
        </is>
      </c>
      <c r="F132" s="13" t="n">
        <v>8.880000000000001</v>
      </c>
      <c r="G132" s="13" t="n">
        <v>7.82</v>
      </c>
      <c r="H132" s="13" t="n">
        <v>9.27</v>
      </c>
      <c r="I132" s="15">
        <f>F132+G132+H132</f>
        <v/>
      </c>
      <c r="J132" s="15">
        <f>ROUND((I132-25.9)/25.9*100,2)</f>
        <v/>
      </c>
      <c r="K132" s="15" t="inlineStr">
        <is>
          <t>Normal</t>
        </is>
      </c>
    </row>
    <row r="133" ht="15" customHeight="1" s="11">
      <c r="A133" s="14" t="n">
        <v>132</v>
      </c>
      <c r="B133" s="14" t="inlineStr">
        <is>
          <t>COW005</t>
        </is>
      </c>
      <c r="C133" s="14" t="inlineStr">
        <is>
          <t>RFID100005</t>
        </is>
      </c>
      <c r="D133" s="14" t="inlineStr">
        <is>
          <t>2024-01-12</t>
        </is>
      </c>
      <c r="E133" s="14" t="inlineStr">
        <is>
          <t>08:00</t>
        </is>
      </c>
      <c r="F133" s="14" t="n">
        <v>8.92</v>
      </c>
      <c r="G133" s="14" t="n">
        <v>8.699999999999999</v>
      </c>
      <c r="H133" s="14" t="n">
        <v>7.51</v>
      </c>
      <c r="I133" s="15">
        <f>F133+G133+H133</f>
        <v/>
      </c>
      <c r="J133" s="15">
        <f>ROUND((I133-25.9)/25.9*100,2)</f>
        <v/>
      </c>
      <c r="K133" s="15" t="inlineStr">
        <is>
          <t>Normal</t>
        </is>
      </c>
    </row>
    <row r="134" ht="15" customHeight="1" s="11">
      <c r="A134" s="13" t="n">
        <v>133</v>
      </c>
      <c r="B134" s="13" t="inlineStr">
        <is>
          <t>COW005</t>
        </is>
      </c>
      <c r="C134" s="13" t="inlineStr">
        <is>
          <t>RFID100005</t>
        </is>
      </c>
      <c r="D134" s="13" t="inlineStr">
        <is>
          <t>2024-01-13</t>
        </is>
      </c>
      <c r="E134" s="13" t="inlineStr">
        <is>
          <t>08:00</t>
        </is>
      </c>
      <c r="F134" s="13" t="n">
        <v>9.57</v>
      </c>
      <c r="G134" s="13" t="n">
        <v>8.27</v>
      </c>
      <c r="H134" s="13" t="n">
        <v>9.06</v>
      </c>
      <c r="I134" s="15">
        <f>F134+G134+H134</f>
        <v/>
      </c>
      <c r="J134" s="15">
        <f>ROUND((I134-25.9)/25.9*100,2)</f>
        <v/>
      </c>
      <c r="K134" s="15" t="inlineStr">
        <is>
          <t>Normal</t>
        </is>
      </c>
    </row>
    <row r="135" ht="15" customHeight="1" s="11">
      <c r="A135" s="14" t="n">
        <v>134</v>
      </c>
      <c r="B135" s="14" t="inlineStr">
        <is>
          <t>COW005</t>
        </is>
      </c>
      <c r="C135" s="14" t="inlineStr">
        <is>
          <t>RFID100005</t>
        </is>
      </c>
      <c r="D135" s="14" t="inlineStr">
        <is>
          <t>2024-01-14</t>
        </is>
      </c>
      <c r="E135" s="14" t="inlineStr">
        <is>
          <t>08:00</t>
        </is>
      </c>
      <c r="F135" s="14" t="n">
        <v>8.960000000000001</v>
      </c>
      <c r="G135" s="14" t="n">
        <v>8.220000000000001</v>
      </c>
      <c r="H135" s="14" t="n">
        <v>8.16</v>
      </c>
      <c r="I135" s="15">
        <f>F135+G135+H135</f>
        <v/>
      </c>
      <c r="J135" s="15">
        <f>ROUND((I135-25.9)/25.9*100,2)</f>
        <v/>
      </c>
      <c r="K135" s="15" t="inlineStr">
        <is>
          <t>Normal</t>
        </is>
      </c>
    </row>
    <row r="136" ht="15" customHeight="1" s="11">
      <c r="A136" s="13" t="n">
        <v>135</v>
      </c>
      <c r="B136" s="13" t="inlineStr">
        <is>
          <t>COW005</t>
        </is>
      </c>
      <c r="C136" s="13" t="inlineStr">
        <is>
          <t>RFID100005</t>
        </is>
      </c>
      <c r="D136" s="13" t="inlineStr">
        <is>
          <t>2024-01-15</t>
        </is>
      </c>
      <c r="E136" s="13" t="inlineStr">
        <is>
          <t>08:00</t>
        </is>
      </c>
      <c r="F136" s="13" t="n">
        <v>8.15</v>
      </c>
      <c r="G136" s="13" t="n">
        <v>7.36</v>
      </c>
      <c r="H136" s="13" t="n">
        <v>9.199999999999999</v>
      </c>
      <c r="I136" s="15">
        <f>F136+G136+H136</f>
        <v/>
      </c>
      <c r="J136" s="15">
        <f>ROUND((I136-25.9)/25.9*100,2)</f>
        <v/>
      </c>
      <c r="K136" s="15" t="inlineStr">
        <is>
          <t>Normal</t>
        </is>
      </c>
    </row>
    <row r="137" ht="15" customHeight="1" s="11">
      <c r="A137" s="14" t="n">
        <v>136</v>
      </c>
      <c r="B137" s="14" t="inlineStr">
        <is>
          <t>COW005</t>
        </is>
      </c>
      <c r="C137" s="14" t="inlineStr">
        <is>
          <t>RFID100005</t>
        </is>
      </c>
      <c r="D137" s="14" t="inlineStr">
        <is>
          <t>2024-01-16</t>
        </is>
      </c>
      <c r="E137" s="14" t="inlineStr">
        <is>
          <t>08:00</t>
        </is>
      </c>
      <c r="F137" s="14" t="n">
        <v>8.76</v>
      </c>
      <c r="G137" s="14" t="n">
        <v>8.960000000000001</v>
      </c>
      <c r="H137" s="14" t="n">
        <v>8.08</v>
      </c>
      <c r="I137" s="15">
        <f>F137+G137+H137</f>
        <v/>
      </c>
      <c r="J137" s="15">
        <f>ROUND((I137-25.9)/25.9*100,2)</f>
        <v/>
      </c>
      <c r="K137" s="15" t="inlineStr">
        <is>
          <t>Normal</t>
        </is>
      </c>
    </row>
    <row r="138" ht="15" customHeight="1" s="11">
      <c r="A138" s="13" t="n">
        <v>137</v>
      </c>
      <c r="B138" s="13" t="inlineStr">
        <is>
          <t>COW005</t>
        </is>
      </c>
      <c r="C138" s="13" t="inlineStr">
        <is>
          <t>RFID100005</t>
        </is>
      </c>
      <c r="D138" s="13" t="inlineStr">
        <is>
          <t>2024-01-17</t>
        </is>
      </c>
      <c r="E138" s="13" t="inlineStr">
        <is>
          <t>08:00</t>
        </is>
      </c>
      <c r="F138" s="13" t="n">
        <v>7.92</v>
      </c>
      <c r="G138" s="13" t="n">
        <v>8.56</v>
      </c>
      <c r="H138" s="13" t="n">
        <v>7.36</v>
      </c>
      <c r="I138" s="15">
        <f>F138+G138+H138</f>
        <v/>
      </c>
      <c r="J138" s="15">
        <f>ROUND((I138-25.9)/25.9*100,2)</f>
        <v/>
      </c>
      <c r="K138" s="15" t="inlineStr">
        <is>
          <t>Low intake</t>
        </is>
      </c>
    </row>
    <row r="139" ht="15" customHeight="1" s="11">
      <c r="A139" s="14" t="n">
        <v>138</v>
      </c>
      <c r="B139" s="14" t="inlineStr">
        <is>
          <t>COW005</t>
        </is>
      </c>
      <c r="C139" s="14" t="inlineStr">
        <is>
          <t>RFID100005</t>
        </is>
      </c>
      <c r="D139" s="14" t="inlineStr">
        <is>
          <t>2024-01-18</t>
        </is>
      </c>
      <c r="E139" s="14" t="inlineStr">
        <is>
          <t>08:00</t>
        </is>
      </c>
      <c r="F139" s="14" t="n">
        <v>8.08</v>
      </c>
      <c r="G139" s="14" t="n">
        <v>8.42</v>
      </c>
      <c r="H139" s="14" t="n">
        <v>7.88</v>
      </c>
      <c r="I139" s="15">
        <f>F139+G139+H139</f>
        <v/>
      </c>
      <c r="J139" s="15">
        <f>ROUND((I139-25.9)/25.9*100,2)</f>
        <v/>
      </c>
      <c r="K139" s="15" t="inlineStr">
        <is>
          <t>Normal</t>
        </is>
      </c>
    </row>
    <row r="140" ht="15" customHeight="1" s="11">
      <c r="A140" s="13" t="n">
        <v>139</v>
      </c>
      <c r="B140" s="13" t="inlineStr">
        <is>
          <t>COW005</t>
        </is>
      </c>
      <c r="C140" s="13" t="inlineStr">
        <is>
          <t>RFID100005</t>
        </is>
      </c>
      <c r="D140" s="13" t="inlineStr">
        <is>
          <t>2024-01-19</t>
        </is>
      </c>
      <c r="E140" s="13" t="inlineStr">
        <is>
          <t>08:00</t>
        </is>
      </c>
      <c r="F140" s="13" t="n">
        <v>9.83</v>
      </c>
      <c r="G140" s="13" t="n">
        <v>7.5</v>
      </c>
      <c r="H140" s="13" t="n">
        <v>8.84</v>
      </c>
      <c r="I140" s="15">
        <f>F140+G140+H140</f>
        <v/>
      </c>
      <c r="J140" s="15">
        <f>ROUND((I140-25.9)/25.9*100,2)</f>
        <v/>
      </c>
      <c r="K140" s="15" t="inlineStr">
        <is>
          <t>Normal</t>
        </is>
      </c>
    </row>
    <row r="141" ht="15" customHeight="1" s="11">
      <c r="A141" s="14" t="n">
        <v>140</v>
      </c>
      <c r="B141" s="14" t="inlineStr">
        <is>
          <t>COW005</t>
        </is>
      </c>
      <c r="C141" s="14" t="inlineStr">
        <is>
          <t>RFID100005</t>
        </is>
      </c>
      <c r="D141" s="14" t="inlineStr">
        <is>
          <t>2024-01-20</t>
        </is>
      </c>
      <c r="E141" s="14" t="inlineStr">
        <is>
          <t>08:00</t>
        </is>
      </c>
      <c r="F141" s="14" t="n">
        <v>9.029999999999999</v>
      </c>
      <c r="G141" s="14" t="n">
        <v>8.890000000000001</v>
      </c>
      <c r="H141" s="14" t="n">
        <v>7.72</v>
      </c>
      <c r="I141" s="15">
        <f>F141+G141+H141</f>
        <v/>
      </c>
      <c r="J141" s="15">
        <f>ROUND((I141-25.9)/25.9*100,2)</f>
        <v/>
      </c>
      <c r="K141" s="15" t="inlineStr">
        <is>
          <t>Normal</t>
        </is>
      </c>
    </row>
    <row r="142" ht="15" customHeight="1" s="11">
      <c r="A142" s="13" t="n">
        <v>141</v>
      </c>
      <c r="B142" s="13" t="inlineStr">
        <is>
          <t>COW005</t>
        </is>
      </c>
      <c r="C142" s="13" t="inlineStr">
        <is>
          <t>RFID100005</t>
        </is>
      </c>
      <c r="D142" s="13" t="inlineStr">
        <is>
          <t>2024-01-21</t>
        </is>
      </c>
      <c r="E142" s="13" t="inlineStr">
        <is>
          <t>08:00</t>
        </is>
      </c>
      <c r="F142" s="13" t="n">
        <v>8.85</v>
      </c>
      <c r="G142" s="13" t="n">
        <v>8.19</v>
      </c>
      <c r="H142" s="13" t="n">
        <v>8.17</v>
      </c>
      <c r="I142" s="15">
        <f>F142+G142+H142</f>
        <v/>
      </c>
      <c r="J142" s="15">
        <f>ROUND((I142-25.9)/25.9*100,2)</f>
        <v/>
      </c>
      <c r="K142" s="15" t="inlineStr">
        <is>
          <t>Normal</t>
        </is>
      </c>
    </row>
    <row r="143" ht="15" customHeight="1" s="11">
      <c r="A143" s="14" t="n">
        <v>142</v>
      </c>
      <c r="B143" s="14" t="inlineStr">
        <is>
          <t>COW005</t>
        </is>
      </c>
      <c r="C143" s="14" t="inlineStr">
        <is>
          <t>RFID100005</t>
        </is>
      </c>
      <c r="D143" s="14" t="inlineStr">
        <is>
          <t>2024-01-22</t>
        </is>
      </c>
      <c r="E143" s="14" t="inlineStr">
        <is>
          <t>08:00</t>
        </is>
      </c>
      <c r="F143" s="14" t="n">
        <v>9.550000000000001</v>
      </c>
      <c r="G143" s="14" t="n">
        <v>9.300000000000001</v>
      </c>
      <c r="H143" s="14" t="n">
        <v>7.88</v>
      </c>
      <c r="I143" s="15">
        <f>F143+G143+H143</f>
        <v/>
      </c>
      <c r="J143" s="15">
        <f>ROUND((I143-25.9)/25.9*100,2)</f>
        <v/>
      </c>
      <c r="K143" s="15" t="inlineStr">
        <is>
          <t>Normal</t>
        </is>
      </c>
    </row>
    <row r="144" ht="15" customHeight="1" s="11">
      <c r="A144" s="13" t="n">
        <v>143</v>
      </c>
      <c r="B144" s="13" t="inlineStr">
        <is>
          <t>COW005</t>
        </is>
      </c>
      <c r="C144" s="13" t="inlineStr">
        <is>
          <t>RFID100005</t>
        </is>
      </c>
      <c r="D144" s="13" t="inlineStr">
        <is>
          <t>2024-01-23</t>
        </is>
      </c>
      <c r="E144" s="13" t="inlineStr">
        <is>
          <t>08:00</t>
        </is>
      </c>
      <c r="F144" s="13" t="n">
        <v>9.06</v>
      </c>
      <c r="G144" s="13" t="n">
        <v>8.52</v>
      </c>
      <c r="H144" s="13" t="n">
        <v>8.789999999999999</v>
      </c>
      <c r="I144" s="15">
        <f>F144+G144+H144</f>
        <v/>
      </c>
      <c r="J144" s="15">
        <f>ROUND((I144-25.9)/25.9*100,2)</f>
        <v/>
      </c>
      <c r="K144" s="15" t="inlineStr">
        <is>
          <t>Normal</t>
        </is>
      </c>
    </row>
    <row r="145" ht="15" customHeight="1" s="11">
      <c r="A145" s="14" t="n">
        <v>144</v>
      </c>
      <c r="B145" s="14" t="inlineStr">
        <is>
          <t>COW005</t>
        </is>
      </c>
      <c r="C145" s="14" t="inlineStr">
        <is>
          <t>RFID100005</t>
        </is>
      </c>
      <c r="D145" s="14" t="inlineStr">
        <is>
          <t>2024-01-24</t>
        </is>
      </c>
      <c r="E145" s="14" t="inlineStr">
        <is>
          <t>08:00</t>
        </is>
      </c>
      <c r="F145" s="14" t="n">
        <v>9.73</v>
      </c>
      <c r="G145" s="14" t="n">
        <v>7.68</v>
      </c>
      <c r="H145" s="14" t="n">
        <v>7.69</v>
      </c>
      <c r="I145" s="15">
        <f>F145+G145+H145</f>
        <v/>
      </c>
      <c r="J145" s="15">
        <f>ROUND((I145-25.9)/25.9*100,2)</f>
        <v/>
      </c>
      <c r="K145" s="15" t="inlineStr">
        <is>
          <t>Normal</t>
        </is>
      </c>
    </row>
    <row r="146" ht="15" customHeight="1" s="11">
      <c r="A146" s="13" t="n">
        <v>145</v>
      </c>
      <c r="B146" s="13" t="inlineStr">
        <is>
          <t>COW005</t>
        </is>
      </c>
      <c r="C146" s="13" t="inlineStr">
        <is>
          <t>RFID100005</t>
        </is>
      </c>
      <c r="D146" s="13" t="inlineStr">
        <is>
          <t>2024-01-25</t>
        </is>
      </c>
      <c r="E146" s="13" t="inlineStr">
        <is>
          <t>08:00</t>
        </is>
      </c>
      <c r="F146" s="13" t="n">
        <v>9.140000000000001</v>
      </c>
      <c r="G146" s="13" t="n">
        <v>7.58</v>
      </c>
      <c r="H146" s="13" t="n">
        <v>7.61</v>
      </c>
      <c r="I146" s="15">
        <f>F146+G146+H146</f>
        <v/>
      </c>
      <c r="J146" s="15">
        <f>ROUND((I146-25.9)/25.9*100,2)</f>
        <v/>
      </c>
      <c r="K146" s="15" t="inlineStr">
        <is>
          <t>Normal</t>
        </is>
      </c>
    </row>
    <row r="147" ht="15" customHeight="1" s="11">
      <c r="A147" s="14" t="n">
        <v>146</v>
      </c>
      <c r="B147" s="14" t="inlineStr">
        <is>
          <t>COW005</t>
        </is>
      </c>
      <c r="C147" s="14" t="inlineStr">
        <is>
          <t>RFID100005</t>
        </is>
      </c>
      <c r="D147" s="14" t="inlineStr">
        <is>
          <t>2024-01-26</t>
        </is>
      </c>
      <c r="E147" s="14" t="inlineStr">
        <is>
          <t>08:00</t>
        </is>
      </c>
      <c r="F147" s="14" t="n">
        <v>7.93</v>
      </c>
      <c r="G147" s="14" t="n">
        <v>7.26</v>
      </c>
      <c r="H147" s="14" t="n">
        <v>8.19</v>
      </c>
      <c r="I147" s="15">
        <f>F147+G147+H147</f>
        <v/>
      </c>
      <c r="J147" s="15">
        <f>ROUND((I147-25.9)/25.9*100,2)</f>
        <v/>
      </c>
      <c r="K147" s="15" t="inlineStr">
        <is>
          <t>Low intake</t>
        </is>
      </c>
    </row>
    <row r="148" ht="15" customHeight="1" s="11">
      <c r="A148" s="13" t="n">
        <v>147</v>
      </c>
      <c r="B148" s="13" t="inlineStr">
        <is>
          <t>COW005</t>
        </is>
      </c>
      <c r="C148" s="13" t="inlineStr">
        <is>
          <t>RFID100005</t>
        </is>
      </c>
      <c r="D148" s="13" t="inlineStr">
        <is>
          <t>2024-01-27</t>
        </is>
      </c>
      <c r="E148" s="13" t="inlineStr">
        <is>
          <t>08:00</t>
        </is>
      </c>
      <c r="F148" s="13" t="n">
        <v>9</v>
      </c>
      <c r="G148" s="13" t="n">
        <v>7.86</v>
      </c>
      <c r="H148" s="13" t="n">
        <v>7.73</v>
      </c>
      <c r="I148" s="15">
        <f>F148+G148+H148</f>
        <v/>
      </c>
      <c r="J148" s="15">
        <f>ROUND((I148-25.9)/25.9*100,2)</f>
        <v/>
      </c>
      <c r="K148" s="15" t="inlineStr">
        <is>
          <t>Normal</t>
        </is>
      </c>
    </row>
    <row r="149" ht="15" customHeight="1" s="11">
      <c r="A149" s="14" t="n">
        <v>148</v>
      </c>
      <c r="B149" s="14" t="inlineStr">
        <is>
          <t>COW005</t>
        </is>
      </c>
      <c r="C149" s="14" t="inlineStr">
        <is>
          <t>RFID100005</t>
        </is>
      </c>
      <c r="D149" s="14" t="inlineStr">
        <is>
          <t>2024-01-28</t>
        </is>
      </c>
      <c r="E149" s="14" t="inlineStr">
        <is>
          <t>08:00</t>
        </is>
      </c>
      <c r="F149" s="14" t="n">
        <v>9.23</v>
      </c>
      <c r="G149" s="14" t="n">
        <v>8.710000000000001</v>
      </c>
      <c r="H149" s="14" t="n">
        <v>8.19</v>
      </c>
      <c r="I149" s="15">
        <f>F149+G149+H149</f>
        <v/>
      </c>
      <c r="J149" s="15">
        <f>ROUND((I149-25.9)/25.9*100,2)</f>
        <v/>
      </c>
      <c r="K149" s="15" t="inlineStr">
        <is>
          <t>Normal</t>
        </is>
      </c>
    </row>
    <row r="150" ht="15" customHeight="1" s="11">
      <c r="A150" s="13" t="n">
        <v>149</v>
      </c>
      <c r="B150" s="13" t="inlineStr">
        <is>
          <t>COW005</t>
        </is>
      </c>
      <c r="C150" s="13" t="inlineStr">
        <is>
          <t>RFID100005</t>
        </is>
      </c>
      <c r="D150" s="13" t="inlineStr">
        <is>
          <t>2024-01-29</t>
        </is>
      </c>
      <c r="E150" s="13" t="inlineStr">
        <is>
          <t>08:00</t>
        </is>
      </c>
      <c r="F150" s="13" t="n">
        <v>9.19</v>
      </c>
      <c r="G150" s="13" t="n">
        <v>9.17</v>
      </c>
      <c r="H150" s="13" t="n">
        <v>8.880000000000001</v>
      </c>
      <c r="I150" s="15">
        <f>F150+G150+H150</f>
        <v/>
      </c>
      <c r="J150" s="15">
        <f>ROUND((I150-25.9)/25.9*100,2)</f>
        <v/>
      </c>
      <c r="K150" s="15" t="inlineStr">
        <is>
          <t>Normal</t>
        </is>
      </c>
    </row>
    <row r="151" ht="15" customHeight="1" s="11">
      <c r="A151" s="14" t="n">
        <v>150</v>
      </c>
      <c r="B151" s="14" t="inlineStr">
        <is>
          <t>COW005</t>
        </is>
      </c>
      <c r="C151" s="14" t="inlineStr">
        <is>
          <t>RFID100005</t>
        </is>
      </c>
      <c r="D151" s="14" t="inlineStr">
        <is>
          <t>2024-01-30</t>
        </is>
      </c>
      <c r="E151" s="14" t="inlineStr">
        <is>
          <t>08:00</t>
        </is>
      </c>
      <c r="F151" s="14" t="n">
        <v>9.07</v>
      </c>
      <c r="G151" s="14" t="n">
        <v>8.619999999999999</v>
      </c>
      <c r="H151" s="14" t="n">
        <v>9.19</v>
      </c>
      <c r="I151" s="15">
        <f>F151+G151+H151</f>
        <v/>
      </c>
      <c r="J151" s="15">
        <f>ROUND((I151-25.9)/25.9*100,2)</f>
        <v/>
      </c>
      <c r="K151" s="15" t="inlineStr">
        <is>
          <t>Normal</t>
        </is>
      </c>
    </row>
    <row r="152" ht="15" customHeight="1" s="11">
      <c r="A152" s="13" t="n">
        <v>151</v>
      </c>
      <c r="B152" s="13" t="inlineStr">
        <is>
          <t>COW006</t>
        </is>
      </c>
      <c r="C152" s="13" t="inlineStr">
        <is>
          <t>RFID100006</t>
        </is>
      </c>
      <c r="D152" s="13" t="inlineStr">
        <is>
          <t>2024-01-01</t>
        </is>
      </c>
      <c r="E152" s="13" t="inlineStr">
        <is>
          <t>08:00</t>
        </is>
      </c>
      <c r="F152" s="13" t="n">
        <v>7.66</v>
      </c>
      <c r="G152" s="13" t="n">
        <v>7.4</v>
      </c>
      <c r="H152" s="13" t="n">
        <v>7.86</v>
      </c>
      <c r="I152" s="15">
        <f>F152+G152+H152</f>
        <v/>
      </c>
      <c r="J152" s="15">
        <f>ROUND((I152-22.3)/22.3*100,2)</f>
        <v/>
      </c>
      <c r="K152" s="15" t="inlineStr">
        <is>
          <t>Normal</t>
        </is>
      </c>
    </row>
    <row r="153" ht="15" customHeight="1" s="11">
      <c r="A153" s="14" t="n">
        <v>152</v>
      </c>
      <c r="B153" s="14" t="inlineStr">
        <is>
          <t>COW006</t>
        </is>
      </c>
      <c r="C153" s="14" t="inlineStr">
        <is>
          <t>RFID100006</t>
        </is>
      </c>
      <c r="D153" s="14" t="inlineStr">
        <is>
          <t>2024-01-02</t>
        </is>
      </c>
      <c r="E153" s="14" t="inlineStr">
        <is>
          <t>08:00</t>
        </is>
      </c>
      <c r="F153" s="14" t="n">
        <v>8.16</v>
      </c>
      <c r="G153" s="14" t="n">
        <v>6.37</v>
      </c>
      <c r="H153" s="14" t="n">
        <v>6.54</v>
      </c>
      <c r="I153" s="15">
        <f>F153+G153+H153</f>
        <v/>
      </c>
      <c r="J153" s="15">
        <f>ROUND((I153-22.3)/22.3*100,2)</f>
        <v/>
      </c>
      <c r="K153" s="15" t="inlineStr">
        <is>
          <t>Normal</t>
        </is>
      </c>
    </row>
    <row r="154" ht="15" customHeight="1" s="11">
      <c r="A154" s="13" t="n">
        <v>153</v>
      </c>
      <c r="B154" s="13" t="inlineStr">
        <is>
          <t>COW006</t>
        </is>
      </c>
      <c r="C154" s="13" t="inlineStr">
        <is>
          <t>RFID100006</t>
        </is>
      </c>
      <c r="D154" s="13" t="inlineStr">
        <is>
          <t>2024-01-03</t>
        </is>
      </c>
      <c r="E154" s="13" t="inlineStr">
        <is>
          <t>08:00</t>
        </is>
      </c>
      <c r="F154" s="13" t="n">
        <v>7.24</v>
      </c>
      <c r="G154" s="13" t="n">
        <v>7.58</v>
      </c>
      <c r="H154" s="13" t="n">
        <v>7.26</v>
      </c>
      <c r="I154" s="15">
        <f>F154+G154+H154</f>
        <v/>
      </c>
      <c r="J154" s="15">
        <f>ROUND((I154-22.3)/22.3*100,2)</f>
        <v/>
      </c>
      <c r="K154" s="15" t="inlineStr">
        <is>
          <t>Normal</t>
        </is>
      </c>
    </row>
    <row r="155" ht="15" customHeight="1" s="11">
      <c r="A155" s="14" t="n">
        <v>154</v>
      </c>
      <c r="B155" s="14" t="inlineStr">
        <is>
          <t>COW006</t>
        </is>
      </c>
      <c r="C155" s="14" t="inlineStr">
        <is>
          <t>RFID100006</t>
        </is>
      </c>
      <c r="D155" s="14" t="inlineStr">
        <is>
          <t>2024-01-04</t>
        </is>
      </c>
      <c r="E155" s="14" t="inlineStr">
        <is>
          <t>08:00</t>
        </is>
      </c>
      <c r="F155" s="14" t="n">
        <v>7.2</v>
      </c>
      <c r="G155" s="14" t="n">
        <v>6.47</v>
      </c>
      <c r="H155" s="14" t="n">
        <v>7.47</v>
      </c>
      <c r="I155" s="15">
        <f>F155+G155+H155</f>
        <v/>
      </c>
      <c r="J155" s="15">
        <f>ROUND((I155-22.3)/22.3*100,2)</f>
        <v/>
      </c>
      <c r="K155" s="15" t="inlineStr">
        <is>
          <t>Normal</t>
        </is>
      </c>
    </row>
    <row r="156" ht="15" customHeight="1" s="11">
      <c r="A156" s="13" t="n">
        <v>155</v>
      </c>
      <c r="B156" s="13" t="inlineStr">
        <is>
          <t>COW006</t>
        </is>
      </c>
      <c r="C156" s="13" t="inlineStr">
        <is>
          <t>RFID100006</t>
        </is>
      </c>
      <c r="D156" s="13" t="inlineStr">
        <is>
          <t>2024-01-05</t>
        </is>
      </c>
      <c r="E156" s="13" t="inlineStr">
        <is>
          <t>08:00</t>
        </is>
      </c>
      <c r="F156" s="13" t="n">
        <v>7.94</v>
      </c>
      <c r="G156" s="13" t="n">
        <v>7.93</v>
      </c>
      <c r="H156" s="13" t="n">
        <v>7.14</v>
      </c>
      <c r="I156" s="15">
        <f>F156+G156+H156</f>
        <v/>
      </c>
      <c r="J156" s="15">
        <f>ROUND((I156-22.3)/22.3*100,2)</f>
        <v/>
      </c>
      <c r="K156" s="15" t="inlineStr">
        <is>
          <t>Normal</t>
        </is>
      </c>
    </row>
    <row r="157" ht="15" customHeight="1" s="11">
      <c r="A157" s="14" t="n">
        <v>156</v>
      </c>
      <c r="B157" s="14" t="inlineStr">
        <is>
          <t>COW006</t>
        </is>
      </c>
      <c r="C157" s="14" t="inlineStr">
        <is>
          <t>RFID100006</t>
        </is>
      </c>
      <c r="D157" s="14" t="inlineStr">
        <is>
          <t>2024-01-06</t>
        </is>
      </c>
      <c r="E157" s="14" t="inlineStr">
        <is>
          <t>08:00</t>
        </is>
      </c>
      <c r="F157" s="14" t="n">
        <v>7.57</v>
      </c>
      <c r="G157" s="14" t="n">
        <v>6.39</v>
      </c>
      <c r="H157" s="14" t="n">
        <v>6.32</v>
      </c>
      <c r="I157" s="15">
        <f>F157+G157+H157</f>
        <v/>
      </c>
      <c r="J157" s="15">
        <f>ROUND((I157-22.3)/22.3*100,2)</f>
        <v/>
      </c>
      <c r="K157" s="15" t="inlineStr">
        <is>
          <t>Low intake</t>
        </is>
      </c>
    </row>
    <row r="158" ht="15" customHeight="1" s="11">
      <c r="A158" s="13" t="n">
        <v>157</v>
      </c>
      <c r="B158" s="13" t="inlineStr">
        <is>
          <t>COW006</t>
        </is>
      </c>
      <c r="C158" s="13" t="inlineStr">
        <is>
          <t>RFID100006</t>
        </is>
      </c>
      <c r="D158" s="13" t="inlineStr">
        <is>
          <t>2024-01-07</t>
        </is>
      </c>
      <c r="E158" s="13" t="inlineStr">
        <is>
          <t>08:00</t>
        </is>
      </c>
      <c r="F158" s="13" t="n">
        <v>7.46</v>
      </c>
      <c r="G158" s="13" t="n">
        <v>6.82</v>
      </c>
      <c r="H158" s="13" t="n">
        <v>6.69</v>
      </c>
      <c r="I158" s="15">
        <f>F158+G158+H158</f>
        <v/>
      </c>
      <c r="J158" s="15">
        <f>ROUND((I158-22.3)/22.3*100,2)</f>
        <v/>
      </c>
      <c r="K158" s="15" t="inlineStr">
        <is>
          <t>Normal</t>
        </is>
      </c>
    </row>
    <row r="159" ht="15" customHeight="1" s="11">
      <c r="A159" s="14" t="n">
        <v>158</v>
      </c>
      <c r="B159" s="14" t="inlineStr">
        <is>
          <t>COW006</t>
        </is>
      </c>
      <c r="C159" s="14" t="inlineStr">
        <is>
          <t>RFID100006</t>
        </is>
      </c>
      <c r="D159" s="14" t="inlineStr">
        <is>
          <t>2024-01-08</t>
        </is>
      </c>
      <c r="E159" s="14" t="inlineStr">
        <is>
          <t>08:00</t>
        </is>
      </c>
      <c r="F159" s="14" t="n">
        <v>6.85</v>
      </c>
      <c r="G159" s="14" t="n">
        <v>7.96</v>
      </c>
      <c r="H159" s="14" t="n">
        <v>7.74</v>
      </c>
      <c r="I159" s="15">
        <f>F159+G159+H159</f>
        <v/>
      </c>
      <c r="J159" s="15">
        <f>ROUND((I159-22.3)/22.3*100,2)</f>
        <v/>
      </c>
      <c r="K159" s="15" t="inlineStr">
        <is>
          <t>Normal</t>
        </is>
      </c>
    </row>
    <row r="160" ht="15" customHeight="1" s="11">
      <c r="A160" s="13" t="n">
        <v>159</v>
      </c>
      <c r="B160" s="13" t="inlineStr">
        <is>
          <t>COW006</t>
        </is>
      </c>
      <c r="C160" s="13" t="inlineStr">
        <is>
          <t>RFID100006</t>
        </is>
      </c>
      <c r="D160" s="13" t="inlineStr">
        <is>
          <t>2024-01-09</t>
        </is>
      </c>
      <c r="E160" s="13" t="inlineStr">
        <is>
          <t>08:00</t>
        </is>
      </c>
      <c r="F160" s="13" t="n">
        <v>7.72</v>
      </c>
      <c r="G160" s="13" t="n">
        <v>7.94</v>
      </c>
      <c r="H160" s="13" t="n">
        <v>8.029999999999999</v>
      </c>
      <c r="I160" s="15">
        <f>F160+G160+H160</f>
        <v/>
      </c>
      <c r="J160" s="15">
        <f>ROUND((I160-22.3)/22.3*100,2)</f>
        <v/>
      </c>
      <c r="K160" s="15" t="inlineStr">
        <is>
          <t>Normal</t>
        </is>
      </c>
    </row>
    <row r="161" ht="15" customHeight="1" s="11">
      <c r="A161" s="14" t="n">
        <v>160</v>
      </c>
      <c r="B161" s="14" t="inlineStr">
        <is>
          <t>COW006</t>
        </is>
      </c>
      <c r="C161" s="14" t="inlineStr">
        <is>
          <t>RFID100006</t>
        </is>
      </c>
      <c r="D161" s="14" t="inlineStr">
        <is>
          <t>2024-01-10</t>
        </is>
      </c>
      <c r="E161" s="14" t="inlineStr">
        <is>
          <t>08:00</t>
        </is>
      </c>
      <c r="F161" s="14" t="n">
        <v>7.89</v>
      </c>
      <c r="G161" s="14" t="n">
        <v>6.72</v>
      </c>
      <c r="H161" s="14" t="n">
        <v>6.32</v>
      </c>
      <c r="I161" s="15">
        <f>F161+G161+H161</f>
        <v/>
      </c>
      <c r="J161" s="15">
        <f>ROUND((I161-22.3)/22.3*100,2)</f>
        <v/>
      </c>
      <c r="K161" s="15" t="inlineStr">
        <is>
          <t>Normal</t>
        </is>
      </c>
    </row>
    <row r="162" ht="15" customHeight="1" s="11">
      <c r="A162" s="13" t="n">
        <v>161</v>
      </c>
      <c r="B162" s="13" t="inlineStr">
        <is>
          <t>COW006</t>
        </is>
      </c>
      <c r="C162" s="13" t="inlineStr">
        <is>
          <t>RFID100006</t>
        </is>
      </c>
      <c r="D162" s="13" t="inlineStr">
        <is>
          <t>2024-01-11</t>
        </is>
      </c>
      <c r="E162" s="13" t="inlineStr">
        <is>
          <t>08:00</t>
        </is>
      </c>
      <c r="F162" s="13" t="n">
        <v>8.039999999999999</v>
      </c>
      <c r="G162" s="13" t="n">
        <v>7.08</v>
      </c>
      <c r="H162" s="13" t="n">
        <v>7.41</v>
      </c>
      <c r="I162" s="15">
        <f>F162+G162+H162</f>
        <v/>
      </c>
      <c r="J162" s="15">
        <f>ROUND((I162-22.3)/22.3*100,2)</f>
        <v/>
      </c>
      <c r="K162" s="15" t="inlineStr">
        <is>
          <t>Normal</t>
        </is>
      </c>
    </row>
    <row r="163" ht="15" customHeight="1" s="11">
      <c r="A163" s="14" t="n">
        <v>162</v>
      </c>
      <c r="B163" s="14" t="inlineStr">
        <is>
          <t>COW006</t>
        </is>
      </c>
      <c r="C163" s="14" t="inlineStr">
        <is>
          <t>RFID100006</t>
        </is>
      </c>
      <c r="D163" s="14" t="inlineStr">
        <is>
          <t>2024-01-12</t>
        </is>
      </c>
      <c r="E163" s="14" t="inlineStr">
        <is>
          <t>08:00</t>
        </is>
      </c>
      <c r="F163" s="14" t="n">
        <v>8.32</v>
      </c>
      <c r="G163" s="14" t="n">
        <v>6.57</v>
      </c>
      <c r="H163" s="14" t="n">
        <v>7.29</v>
      </c>
      <c r="I163" s="15">
        <f>F163+G163+H163</f>
        <v/>
      </c>
      <c r="J163" s="15">
        <f>ROUND((I163-22.3)/22.3*100,2)</f>
        <v/>
      </c>
      <c r="K163" s="15" t="inlineStr">
        <is>
          <t>Normal</t>
        </is>
      </c>
    </row>
    <row r="164" ht="15" customHeight="1" s="11">
      <c r="A164" s="13" t="n">
        <v>163</v>
      </c>
      <c r="B164" s="13" t="inlineStr">
        <is>
          <t>COW006</t>
        </is>
      </c>
      <c r="C164" s="13" t="inlineStr">
        <is>
          <t>RFID100006</t>
        </is>
      </c>
      <c r="D164" s="13" t="inlineStr">
        <is>
          <t>2024-01-13</t>
        </is>
      </c>
      <c r="E164" s="13" t="inlineStr">
        <is>
          <t>08:00</t>
        </is>
      </c>
      <c r="F164" s="13" t="n">
        <v>7.82</v>
      </c>
      <c r="G164" s="13" t="n">
        <v>7.12</v>
      </c>
      <c r="H164" s="13" t="n">
        <v>6.41</v>
      </c>
      <c r="I164" s="15">
        <f>F164+G164+H164</f>
        <v/>
      </c>
      <c r="J164" s="15">
        <f>ROUND((I164-22.3)/22.3*100,2)</f>
        <v/>
      </c>
      <c r="K164" s="15" t="inlineStr">
        <is>
          <t>Normal</t>
        </is>
      </c>
    </row>
    <row r="165" ht="15" customHeight="1" s="11">
      <c r="A165" s="14" t="n">
        <v>164</v>
      </c>
      <c r="B165" s="14" t="inlineStr">
        <is>
          <t>COW006</t>
        </is>
      </c>
      <c r="C165" s="14" t="inlineStr">
        <is>
          <t>RFID100006</t>
        </is>
      </c>
      <c r="D165" s="14" t="inlineStr">
        <is>
          <t>2024-01-14</t>
        </is>
      </c>
      <c r="E165" s="14" t="inlineStr">
        <is>
          <t>08:00</t>
        </is>
      </c>
      <c r="F165" s="14" t="n">
        <v>7.31</v>
      </c>
      <c r="G165" s="14" t="n">
        <v>6.84</v>
      </c>
      <c r="H165" s="14" t="n">
        <v>7.44</v>
      </c>
      <c r="I165" s="15">
        <f>F165+G165+H165</f>
        <v/>
      </c>
      <c r="J165" s="15">
        <f>ROUND((I165-22.3)/22.3*100,2)</f>
        <v/>
      </c>
      <c r="K165" s="15" t="inlineStr">
        <is>
          <t>Normal</t>
        </is>
      </c>
    </row>
    <row r="166" ht="15" customHeight="1" s="11">
      <c r="A166" s="13" t="n">
        <v>165</v>
      </c>
      <c r="B166" s="13" t="inlineStr">
        <is>
          <t>COW006</t>
        </is>
      </c>
      <c r="C166" s="13" t="inlineStr">
        <is>
          <t>RFID100006</t>
        </is>
      </c>
      <c r="D166" s="13" t="inlineStr">
        <is>
          <t>2024-01-15</t>
        </is>
      </c>
      <c r="E166" s="13" t="inlineStr">
        <is>
          <t>08:00</t>
        </is>
      </c>
      <c r="F166" s="13" t="n">
        <v>8.220000000000001</v>
      </c>
      <c r="G166" s="13" t="n">
        <v>6.83</v>
      </c>
      <c r="H166" s="13" t="n">
        <v>7.48</v>
      </c>
      <c r="I166" s="15">
        <f>F166+G166+H166</f>
        <v/>
      </c>
      <c r="J166" s="15">
        <f>ROUND((I166-22.3)/22.3*100,2)</f>
        <v/>
      </c>
      <c r="K166" s="15" t="inlineStr">
        <is>
          <t>Normal</t>
        </is>
      </c>
    </row>
    <row r="167" ht="15" customHeight="1" s="11">
      <c r="A167" s="14" t="n">
        <v>166</v>
      </c>
      <c r="B167" s="14" t="inlineStr">
        <is>
          <t>COW006</t>
        </is>
      </c>
      <c r="C167" s="14" t="inlineStr">
        <is>
          <t>RFID100006</t>
        </is>
      </c>
      <c r="D167" s="14" t="inlineStr">
        <is>
          <t>2024-01-16</t>
        </is>
      </c>
      <c r="E167" s="14" t="inlineStr">
        <is>
          <t>08:00</t>
        </is>
      </c>
      <c r="F167" s="14" t="n">
        <v>7.2</v>
      </c>
      <c r="G167" s="14" t="n">
        <v>7.93</v>
      </c>
      <c r="H167" s="14" t="n">
        <v>7.7</v>
      </c>
      <c r="I167" s="15">
        <f>F167+G167+H167</f>
        <v/>
      </c>
      <c r="J167" s="15">
        <f>ROUND((I167-22.3)/22.3*100,2)</f>
        <v/>
      </c>
      <c r="K167" s="15" t="inlineStr">
        <is>
          <t>Normal</t>
        </is>
      </c>
    </row>
    <row r="168" ht="15" customHeight="1" s="11">
      <c r="A168" s="13" t="n">
        <v>167</v>
      </c>
      <c r="B168" s="13" t="inlineStr">
        <is>
          <t>COW006</t>
        </is>
      </c>
      <c r="C168" s="13" t="inlineStr">
        <is>
          <t>RFID100006</t>
        </is>
      </c>
      <c r="D168" s="13" t="inlineStr">
        <is>
          <t>2024-01-17</t>
        </is>
      </c>
      <c r="E168" s="13" t="inlineStr">
        <is>
          <t>08:00</t>
        </is>
      </c>
      <c r="F168" s="13" t="n">
        <v>7.67</v>
      </c>
      <c r="G168" s="13" t="n">
        <v>7.06</v>
      </c>
      <c r="H168" s="13" t="n">
        <v>6.81</v>
      </c>
      <c r="I168" s="15">
        <f>F168+G168+H168</f>
        <v/>
      </c>
      <c r="J168" s="15">
        <f>ROUND((I168-22.3)/22.3*100,2)</f>
        <v/>
      </c>
      <c r="K168" s="15" t="inlineStr">
        <is>
          <t>Normal</t>
        </is>
      </c>
    </row>
    <row r="169" ht="15" customHeight="1" s="11">
      <c r="A169" s="14" t="n">
        <v>168</v>
      </c>
      <c r="B169" s="14" t="inlineStr">
        <is>
          <t>COW006</t>
        </is>
      </c>
      <c r="C169" s="14" t="inlineStr">
        <is>
          <t>RFID100006</t>
        </is>
      </c>
      <c r="D169" s="14" t="inlineStr">
        <is>
          <t>2024-01-18</t>
        </is>
      </c>
      <c r="E169" s="14" t="inlineStr">
        <is>
          <t>08:00</t>
        </is>
      </c>
      <c r="F169" s="14" t="n">
        <v>7.27</v>
      </c>
      <c r="G169" s="14" t="n">
        <v>7.97</v>
      </c>
      <c r="H169" s="14" t="n">
        <v>6.97</v>
      </c>
      <c r="I169" s="15">
        <f>F169+G169+H169</f>
        <v/>
      </c>
      <c r="J169" s="15">
        <f>ROUND((I169-22.3)/22.3*100,2)</f>
        <v/>
      </c>
      <c r="K169" s="15" t="inlineStr">
        <is>
          <t>Normal</t>
        </is>
      </c>
    </row>
    <row r="170" ht="15" customHeight="1" s="11">
      <c r="A170" s="13" t="n">
        <v>169</v>
      </c>
      <c r="B170" s="13" t="inlineStr">
        <is>
          <t>COW006</t>
        </is>
      </c>
      <c r="C170" s="13" t="inlineStr">
        <is>
          <t>RFID100006</t>
        </is>
      </c>
      <c r="D170" s="13" t="inlineStr">
        <is>
          <t>2024-01-19</t>
        </is>
      </c>
      <c r="E170" s="13" t="inlineStr">
        <is>
          <t>08:00</t>
        </is>
      </c>
      <c r="F170" s="13" t="n">
        <v>7.61</v>
      </c>
      <c r="G170" s="13" t="n">
        <v>8.01</v>
      </c>
      <c r="H170" s="13" t="n">
        <v>7.42</v>
      </c>
      <c r="I170" s="15">
        <f>F170+G170+H170</f>
        <v/>
      </c>
      <c r="J170" s="15">
        <f>ROUND((I170-22.3)/22.3*100,2)</f>
        <v/>
      </c>
      <c r="K170" s="15" t="inlineStr">
        <is>
          <t>Normal</t>
        </is>
      </c>
    </row>
    <row r="171" ht="15" customHeight="1" s="11">
      <c r="A171" s="14" t="n">
        <v>170</v>
      </c>
      <c r="B171" s="14" t="inlineStr">
        <is>
          <t>COW006</t>
        </is>
      </c>
      <c r="C171" s="14" t="inlineStr">
        <is>
          <t>RFID100006</t>
        </is>
      </c>
      <c r="D171" s="14" t="inlineStr">
        <is>
          <t>2024-01-20</t>
        </is>
      </c>
      <c r="E171" s="14" t="inlineStr">
        <is>
          <t>08:00</t>
        </is>
      </c>
      <c r="F171" s="14" t="n">
        <v>7.66</v>
      </c>
      <c r="G171" s="14" t="n">
        <v>6.98</v>
      </c>
      <c r="H171" s="14" t="n">
        <v>6.58</v>
      </c>
      <c r="I171" s="15">
        <f>F171+G171+H171</f>
        <v/>
      </c>
      <c r="J171" s="15">
        <f>ROUND((I171-22.3)/22.3*100,2)</f>
        <v/>
      </c>
      <c r="K171" s="15" t="inlineStr">
        <is>
          <t>Normal</t>
        </is>
      </c>
    </row>
    <row r="172" ht="15" customHeight="1" s="11">
      <c r="A172" s="13" t="n">
        <v>171</v>
      </c>
      <c r="B172" s="13" t="inlineStr">
        <is>
          <t>COW006</t>
        </is>
      </c>
      <c r="C172" s="13" t="inlineStr">
        <is>
          <t>RFID100006</t>
        </is>
      </c>
      <c r="D172" s="13" t="inlineStr">
        <is>
          <t>2024-01-21</t>
        </is>
      </c>
      <c r="E172" s="13" t="inlineStr">
        <is>
          <t>08:00</t>
        </is>
      </c>
      <c r="F172" s="13" t="n">
        <v>7.34</v>
      </c>
      <c r="G172" s="13" t="n">
        <v>7.59</v>
      </c>
      <c r="H172" s="13" t="n">
        <v>7.36</v>
      </c>
      <c r="I172" s="15">
        <f>F172+G172+H172</f>
        <v/>
      </c>
      <c r="J172" s="15">
        <f>ROUND((I172-22.3)/22.3*100,2)</f>
        <v/>
      </c>
      <c r="K172" s="15" t="inlineStr">
        <is>
          <t>Normal</t>
        </is>
      </c>
    </row>
    <row r="173" ht="15" customHeight="1" s="11">
      <c r="A173" s="14" t="n">
        <v>172</v>
      </c>
      <c r="B173" s="14" t="inlineStr">
        <is>
          <t>COW006</t>
        </is>
      </c>
      <c r="C173" s="14" t="inlineStr">
        <is>
          <t>RFID100006</t>
        </is>
      </c>
      <c r="D173" s="14" t="inlineStr">
        <is>
          <t>2024-01-22</t>
        </is>
      </c>
      <c r="E173" s="14" t="inlineStr">
        <is>
          <t>08:00</t>
        </is>
      </c>
      <c r="F173" s="14" t="n">
        <v>8.050000000000001</v>
      </c>
      <c r="G173" s="14" t="n">
        <v>6.61</v>
      </c>
      <c r="H173" s="14" t="n">
        <v>7.22</v>
      </c>
      <c r="I173" s="15">
        <f>F173+G173+H173</f>
        <v/>
      </c>
      <c r="J173" s="15">
        <f>ROUND((I173-22.3)/22.3*100,2)</f>
        <v/>
      </c>
      <c r="K173" s="15" t="inlineStr">
        <is>
          <t>Normal</t>
        </is>
      </c>
    </row>
    <row r="174" ht="15" customHeight="1" s="11">
      <c r="A174" s="13" t="n">
        <v>173</v>
      </c>
      <c r="B174" s="13" t="inlineStr">
        <is>
          <t>COW006</t>
        </is>
      </c>
      <c r="C174" s="13" t="inlineStr">
        <is>
          <t>RFID100006</t>
        </is>
      </c>
      <c r="D174" s="13" t="inlineStr">
        <is>
          <t>2024-01-23</t>
        </is>
      </c>
      <c r="E174" s="13" t="inlineStr">
        <is>
          <t>08:00</t>
        </is>
      </c>
      <c r="F174" s="13" t="n">
        <v>8.34</v>
      </c>
      <c r="G174" s="13" t="n">
        <v>7.03</v>
      </c>
      <c r="H174" s="13" t="n">
        <v>7.49</v>
      </c>
      <c r="I174" s="15">
        <f>F174+G174+H174</f>
        <v/>
      </c>
      <c r="J174" s="15">
        <f>ROUND((I174-22.3)/22.3*100,2)</f>
        <v/>
      </c>
      <c r="K174" s="15" t="inlineStr">
        <is>
          <t>Normal</t>
        </is>
      </c>
    </row>
    <row r="175" ht="15" customHeight="1" s="11">
      <c r="A175" s="14" t="n">
        <v>174</v>
      </c>
      <c r="B175" s="14" t="inlineStr">
        <is>
          <t>COW006</t>
        </is>
      </c>
      <c r="C175" s="14" t="inlineStr">
        <is>
          <t>RFID100006</t>
        </is>
      </c>
      <c r="D175" s="14" t="inlineStr">
        <is>
          <t>2024-01-24</t>
        </is>
      </c>
      <c r="E175" s="14" t="inlineStr">
        <is>
          <t>08:00</t>
        </is>
      </c>
      <c r="F175" s="14" t="n">
        <v>6.91</v>
      </c>
      <c r="G175" s="14" t="n">
        <v>7.98</v>
      </c>
      <c r="H175" s="14" t="n">
        <v>7.33</v>
      </c>
      <c r="I175" s="15">
        <f>F175+G175+H175</f>
        <v/>
      </c>
      <c r="J175" s="15">
        <f>ROUND((I175-22.3)/22.3*100,2)</f>
        <v/>
      </c>
      <c r="K175" s="15" t="inlineStr">
        <is>
          <t>Normal</t>
        </is>
      </c>
    </row>
    <row r="176" ht="15" customHeight="1" s="11">
      <c r="A176" s="13" t="n">
        <v>175</v>
      </c>
      <c r="B176" s="13" t="inlineStr">
        <is>
          <t>COW006</t>
        </is>
      </c>
      <c r="C176" s="13" t="inlineStr">
        <is>
          <t>RFID100006</t>
        </is>
      </c>
      <c r="D176" s="13" t="inlineStr">
        <is>
          <t>2024-01-25</t>
        </is>
      </c>
      <c r="E176" s="13" t="inlineStr">
        <is>
          <t>08:00</t>
        </is>
      </c>
      <c r="F176" s="13" t="n">
        <v>7.12</v>
      </c>
      <c r="G176" s="13" t="n">
        <v>6.53</v>
      </c>
      <c r="H176" s="13" t="n">
        <v>7.23</v>
      </c>
      <c r="I176" s="15">
        <f>F176+G176+H176</f>
        <v/>
      </c>
      <c r="J176" s="15">
        <f>ROUND((I176-22.3)/22.3*100,2)</f>
        <v/>
      </c>
      <c r="K176" s="15" t="inlineStr">
        <is>
          <t>Normal</t>
        </is>
      </c>
    </row>
    <row r="177" ht="15" customHeight="1" s="11">
      <c r="A177" s="14" t="n">
        <v>176</v>
      </c>
      <c r="B177" s="14" t="inlineStr">
        <is>
          <t>COW006</t>
        </is>
      </c>
      <c r="C177" s="14" t="inlineStr">
        <is>
          <t>RFID100006</t>
        </is>
      </c>
      <c r="D177" s="14" t="inlineStr">
        <is>
          <t>2024-01-26</t>
        </is>
      </c>
      <c r="E177" s="14" t="inlineStr">
        <is>
          <t>08:00</t>
        </is>
      </c>
      <c r="F177" s="14" t="n">
        <v>7.68</v>
      </c>
      <c r="G177" s="14" t="n">
        <v>6.41</v>
      </c>
      <c r="H177" s="14" t="n">
        <v>8.01</v>
      </c>
      <c r="I177" s="15">
        <f>F177+G177+H177</f>
        <v/>
      </c>
      <c r="J177" s="15">
        <f>ROUND((I177-22.3)/22.3*100,2)</f>
        <v/>
      </c>
      <c r="K177" s="15" t="inlineStr">
        <is>
          <t>Normal</t>
        </is>
      </c>
    </row>
    <row r="178" ht="15" customHeight="1" s="11">
      <c r="A178" s="13" t="n">
        <v>177</v>
      </c>
      <c r="B178" s="13" t="inlineStr">
        <is>
          <t>COW006</t>
        </is>
      </c>
      <c r="C178" s="13" t="inlineStr">
        <is>
          <t>RFID100006</t>
        </is>
      </c>
      <c r="D178" s="13" t="inlineStr">
        <is>
          <t>2024-01-27</t>
        </is>
      </c>
      <c r="E178" s="13" t="inlineStr">
        <is>
          <t>08:00</t>
        </is>
      </c>
      <c r="F178" s="13" t="n">
        <v>8.32</v>
      </c>
      <c r="G178" s="13" t="n">
        <v>7.07</v>
      </c>
      <c r="H178" s="13" t="n">
        <v>6.45</v>
      </c>
      <c r="I178" s="15">
        <f>F178+G178+H178</f>
        <v/>
      </c>
      <c r="J178" s="15">
        <f>ROUND((I178-22.3)/22.3*100,2)</f>
        <v/>
      </c>
      <c r="K178" s="15" t="inlineStr">
        <is>
          <t>Normal</t>
        </is>
      </c>
    </row>
    <row r="179" ht="15" customHeight="1" s="11">
      <c r="A179" s="14" t="n">
        <v>178</v>
      </c>
      <c r="B179" s="14" t="inlineStr">
        <is>
          <t>COW006</t>
        </is>
      </c>
      <c r="C179" s="14" t="inlineStr">
        <is>
          <t>RFID100006</t>
        </is>
      </c>
      <c r="D179" s="14" t="inlineStr">
        <is>
          <t>2024-01-28</t>
        </is>
      </c>
      <c r="E179" s="14" t="inlineStr">
        <is>
          <t>08:00</t>
        </is>
      </c>
      <c r="F179" s="14" t="n">
        <v>8.17</v>
      </c>
      <c r="G179" s="14" t="n">
        <v>7.13</v>
      </c>
      <c r="H179" s="14" t="n">
        <v>7.52</v>
      </c>
      <c r="I179" s="15">
        <f>F179+G179+H179</f>
        <v/>
      </c>
      <c r="J179" s="15">
        <f>ROUND((I179-22.3)/22.3*100,2)</f>
        <v/>
      </c>
      <c r="K179" s="15" t="inlineStr">
        <is>
          <t>Normal</t>
        </is>
      </c>
    </row>
    <row r="180" ht="15" customHeight="1" s="11">
      <c r="A180" s="13" t="n">
        <v>179</v>
      </c>
      <c r="B180" s="13" t="inlineStr">
        <is>
          <t>COW006</t>
        </is>
      </c>
      <c r="C180" s="13" t="inlineStr">
        <is>
          <t>RFID100006</t>
        </is>
      </c>
      <c r="D180" s="13" t="inlineStr">
        <is>
          <t>2024-01-29</t>
        </is>
      </c>
      <c r="E180" s="13" t="inlineStr">
        <is>
          <t>08:00</t>
        </is>
      </c>
      <c r="F180" s="13" t="n">
        <v>7.6</v>
      </c>
      <c r="G180" s="13" t="n">
        <v>6.73</v>
      </c>
      <c r="H180" s="13" t="n">
        <v>7.73</v>
      </c>
      <c r="I180" s="15">
        <f>F180+G180+H180</f>
        <v/>
      </c>
      <c r="J180" s="15">
        <f>ROUND((I180-22.3)/22.3*100,2)</f>
        <v/>
      </c>
      <c r="K180" s="15" t="inlineStr">
        <is>
          <t>Normal</t>
        </is>
      </c>
    </row>
    <row r="181" ht="15" customHeight="1" s="11">
      <c r="A181" s="14" t="n">
        <v>180</v>
      </c>
      <c r="B181" s="14" t="inlineStr">
        <is>
          <t>COW006</t>
        </is>
      </c>
      <c r="C181" s="14" t="inlineStr">
        <is>
          <t>RFID100006</t>
        </is>
      </c>
      <c r="D181" s="14" t="inlineStr">
        <is>
          <t>2024-01-30</t>
        </is>
      </c>
      <c r="E181" s="14" t="inlineStr">
        <is>
          <t>08:00</t>
        </is>
      </c>
      <c r="F181" s="14" t="n">
        <v>8.44</v>
      </c>
      <c r="G181" s="14" t="n">
        <v>6.68</v>
      </c>
      <c r="H181" s="14" t="n">
        <v>7.23</v>
      </c>
      <c r="I181" s="15">
        <f>F181+G181+H181</f>
        <v/>
      </c>
      <c r="J181" s="15">
        <f>ROUND((I181-22.3)/22.3*100,2)</f>
        <v/>
      </c>
      <c r="K181" s="15" t="inlineStr">
        <is>
          <t>Normal</t>
        </is>
      </c>
    </row>
    <row r="182" ht="15" customHeight="1" s="11">
      <c r="A182" s="13" t="n">
        <v>181</v>
      </c>
      <c r="B182" s="13" t="inlineStr">
        <is>
          <t>COW007</t>
        </is>
      </c>
      <c r="C182" s="13" t="inlineStr">
        <is>
          <t>RFID100007</t>
        </is>
      </c>
      <c r="D182" s="13" t="inlineStr">
        <is>
          <t>2024-01-01</t>
        </is>
      </c>
      <c r="E182" s="13" t="inlineStr">
        <is>
          <t>08:00</t>
        </is>
      </c>
      <c r="F182" s="13" t="n">
        <v>8.15</v>
      </c>
      <c r="G182" s="13" t="n">
        <v>6.99</v>
      </c>
      <c r="H182" s="13" t="n">
        <v>7.64</v>
      </c>
      <c r="I182" s="15">
        <f>F182+G182+H182</f>
        <v/>
      </c>
      <c r="J182" s="15">
        <f>ROUND((I182-21.8)/21.8*100,2)</f>
        <v/>
      </c>
      <c r="K182" s="15" t="inlineStr">
        <is>
          <t>Normal</t>
        </is>
      </c>
    </row>
    <row r="183" ht="15" customHeight="1" s="11">
      <c r="A183" s="14" t="n">
        <v>182</v>
      </c>
      <c r="B183" s="14" t="inlineStr">
        <is>
          <t>COW007</t>
        </is>
      </c>
      <c r="C183" s="14" t="inlineStr">
        <is>
          <t>RFID100007</t>
        </is>
      </c>
      <c r="D183" s="14" t="inlineStr">
        <is>
          <t>2024-01-02</t>
        </is>
      </c>
      <c r="E183" s="14" t="inlineStr">
        <is>
          <t>08:00</t>
        </is>
      </c>
      <c r="F183" s="14" t="n">
        <v>8.050000000000001</v>
      </c>
      <c r="G183" s="14" t="n">
        <v>6.59</v>
      </c>
      <c r="H183" s="14" t="n">
        <v>7.48</v>
      </c>
      <c r="I183" s="15">
        <f>F183+G183+H183</f>
        <v/>
      </c>
      <c r="J183" s="15">
        <f>ROUND((I183-21.8)/21.8*100,2)</f>
        <v/>
      </c>
      <c r="K183" s="15" t="inlineStr">
        <is>
          <t>Normal</t>
        </is>
      </c>
    </row>
    <row r="184" ht="15" customHeight="1" s="11">
      <c r="A184" s="13" t="n">
        <v>183</v>
      </c>
      <c r="B184" s="13" t="inlineStr">
        <is>
          <t>COW007</t>
        </is>
      </c>
      <c r="C184" s="13" t="inlineStr">
        <is>
          <t>RFID100007</t>
        </is>
      </c>
      <c r="D184" s="13" t="inlineStr">
        <is>
          <t>2024-01-03</t>
        </is>
      </c>
      <c r="E184" s="13" t="inlineStr">
        <is>
          <t>08:00</t>
        </is>
      </c>
      <c r="F184" s="13" t="n">
        <v>7.26</v>
      </c>
      <c r="G184" s="13" t="n">
        <v>7.73</v>
      </c>
      <c r="H184" s="13" t="n">
        <v>6.99</v>
      </c>
      <c r="I184" s="15">
        <f>F184+G184+H184</f>
        <v/>
      </c>
      <c r="J184" s="15">
        <f>ROUND((I184-21.8)/21.8*100,2)</f>
        <v/>
      </c>
      <c r="K184" s="15" t="inlineStr">
        <is>
          <t>Normal</t>
        </is>
      </c>
    </row>
    <row r="185" ht="15" customHeight="1" s="11">
      <c r="A185" s="14" t="n">
        <v>184</v>
      </c>
      <c r="B185" s="14" t="inlineStr">
        <is>
          <t>COW007</t>
        </is>
      </c>
      <c r="C185" s="14" t="inlineStr">
        <is>
          <t>RFID100007</t>
        </is>
      </c>
      <c r="D185" s="14" t="inlineStr">
        <is>
          <t>2024-01-04</t>
        </is>
      </c>
      <c r="E185" s="14" t="inlineStr">
        <is>
          <t>08:00</t>
        </is>
      </c>
      <c r="F185" s="14" t="n">
        <v>7.97</v>
      </c>
      <c r="G185" s="14" t="n">
        <v>6.6</v>
      </c>
      <c r="H185" s="14" t="n">
        <v>6.62</v>
      </c>
      <c r="I185" s="15">
        <f>F185+G185+H185</f>
        <v/>
      </c>
      <c r="J185" s="15">
        <f>ROUND((I185-21.8)/21.8*100,2)</f>
        <v/>
      </c>
      <c r="K185" s="15" t="inlineStr">
        <is>
          <t>Normal</t>
        </is>
      </c>
    </row>
    <row r="186" ht="15" customHeight="1" s="11">
      <c r="A186" s="13" t="n">
        <v>185</v>
      </c>
      <c r="B186" s="13" t="inlineStr">
        <is>
          <t>COW007</t>
        </is>
      </c>
      <c r="C186" s="13" t="inlineStr">
        <is>
          <t>RFID100007</t>
        </is>
      </c>
      <c r="D186" s="13" t="inlineStr">
        <is>
          <t>2024-01-05</t>
        </is>
      </c>
      <c r="E186" s="13" t="inlineStr">
        <is>
          <t>08:00</t>
        </is>
      </c>
      <c r="F186" s="13" t="n">
        <v>7.56</v>
      </c>
      <c r="G186" s="13" t="n">
        <v>7.85</v>
      </c>
      <c r="H186" s="13" t="n">
        <v>6.96</v>
      </c>
      <c r="I186" s="15">
        <f>F186+G186+H186</f>
        <v/>
      </c>
      <c r="J186" s="15">
        <f>ROUND((I186-21.8)/21.8*100,2)</f>
        <v/>
      </c>
      <c r="K186" s="15" t="inlineStr">
        <is>
          <t>Normal</t>
        </is>
      </c>
    </row>
    <row r="187" ht="15" customHeight="1" s="11">
      <c r="A187" s="14" t="n">
        <v>186</v>
      </c>
      <c r="B187" s="14" t="inlineStr">
        <is>
          <t>COW007</t>
        </is>
      </c>
      <c r="C187" s="14" t="inlineStr">
        <is>
          <t>RFID100007</t>
        </is>
      </c>
      <c r="D187" s="14" t="inlineStr">
        <is>
          <t>2024-01-06</t>
        </is>
      </c>
      <c r="E187" s="14" t="inlineStr">
        <is>
          <t>08:00</t>
        </is>
      </c>
      <c r="F187" s="14" t="n">
        <v>6.8</v>
      </c>
      <c r="G187" s="14" t="n">
        <v>7.04</v>
      </c>
      <c r="H187" s="14" t="n">
        <v>6.71</v>
      </c>
      <c r="I187" s="15">
        <f>F187+G187+H187</f>
        <v/>
      </c>
      <c r="J187" s="15">
        <f>ROUND((I187-21.8)/21.8*100,2)</f>
        <v/>
      </c>
      <c r="K187" s="15" t="inlineStr">
        <is>
          <t>Normal</t>
        </is>
      </c>
    </row>
    <row r="188" ht="15" customHeight="1" s="11">
      <c r="A188" s="13" t="n">
        <v>187</v>
      </c>
      <c r="B188" s="13" t="inlineStr">
        <is>
          <t>COW007</t>
        </is>
      </c>
      <c r="C188" s="13" t="inlineStr">
        <is>
          <t>RFID100007</t>
        </is>
      </c>
      <c r="D188" s="13" t="inlineStr">
        <is>
          <t>2024-01-07</t>
        </is>
      </c>
      <c r="E188" s="13" t="inlineStr">
        <is>
          <t>08:00</t>
        </is>
      </c>
      <c r="F188" s="13" t="n">
        <v>7.5</v>
      </c>
      <c r="G188" s="13" t="n">
        <v>7.05</v>
      </c>
      <c r="H188" s="13" t="n">
        <v>6.9</v>
      </c>
      <c r="I188" s="15">
        <f>F188+G188+H188</f>
        <v/>
      </c>
      <c r="J188" s="15">
        <f>ROUND((I188-21.8)/21.8*100,2)</f>
        <v/>
      </c>
      <c r="K188" s="15" t="inlineStr">
        <is>
          <t>Normal</t>
        </is>
      </c>
    </row>
    <row r="189" ht="15" customHeight="1" s="11">
      <c r="A189" s="14" t="n">
        <v>188</v>
      </c>
      <c r="B189" s="14" t="inlineStr">
        <is>
          <t>COW007</t>
        </is>
      </c>
      <c r="C189" s="14" t="inlineStr">
        <is>
          <t>RFID100007</t>
        </is>
      </c>
      <c r="D189" s="14" t="inlineStr">
        <is>
          <t>2024-01-08</t>
        </is>
      </c>
      <c r="E189" s="14" t="inlineStr">
        <is>
          <t>08:00</t>
        </is>
      </c>
      <c r="F189" s="14" t="n">
        <v>7.1</v>
      </c>
      <c r="G189" s="14" t="n">
        <v>6.43</v>
      </c>
      <c r="H189" s="14" t="n">
        <v>7.32</v>
      </c>
      <c r="I189" s="15">
        <f>F189+G189+H189</f>
        <v/>
      </c>
      <c r="J189" s="15">
        <f>ROUND((I189-21.8)/21.8*100,2)</f>
        <v/>
      </c>
      <c r="K189" s="15" t="inlineStr">
        <is>
          <t>Normal</t>
        </is>
      </c>
    </row>
    <row r="190" ht="15" customHeight="1" s="11">
      <c r="A190" s="13" t="n">
        <v>189</v>
      </c>
      <c r="B190" s="13" t="inlineStr">
        <is>
          <t>COW007</t>
        </is>
      </c>
      <c r="C190" s="13" t="inlineStr">
        <is>
          <t>RFID100007</t>
        </is>
      </c>
      <c r="D190" s="13" t="inlineStr">
        <is>
          <t>2024-01-09</t>
        </is>
      </c>
      <c r="E190" s="13" t="inlineStr">
        <is>
          <t>08:00</t>
        </is>
      </c>
      <c r="F190" s="13" t="n">
        <v>7.54</v>
      </c>
      <c r="G190" s="13" t="n">
        <v>6.51</v>
      </c>
      <c r="H190" s="13" t="n">
        <v>7.46</v>
      </c>
      <c r="I190" s="15">
        <f>F190+G190+H190</f>
        <v/>
      </c>
      <c r="J190" s="15">
        <f>ROUND((I190-21.8)/21.8*100,2)</f>
        <v/>
      </c>
      <c r="K190" s="15" t="inlineStr">
        <is>
          <t>Normal</t>
        </is>
      </c>
    </row>
    <row r="191" ht="15" customHeight="1" s="11">
      <c r="A191" s="14" t="n">
        <v>190</v>
      </c>
      <c r="B191" s="14" t="inlineStr">
        <is>
          <t>COW007</t>
        </is>
      </c>
      <c r="C191" s="14" t="inlineStr">
        <is>
          <t>RFID100007</t>
        </is>
      </c>
      <c r="D191" s="14" t="inlineStr">
        <is>
          <t>2024-01-10</t>
        </is>
      </c>
      <c r="E191" s="14" t="inlineStr">
        <is>
          <t>08:00</t>
        </is>
      </c>
      <c r="F191" s="14" t="n">
        <v>6.62</v>
      </c>
      <c r="G191" s="14" t="n">
        <v>7.4</v>
      </c>
      <c r="H191" s="14" t="n">
        <v>7.33</v>
      </c>
      <c r="I191" s="15">
        <f>F191+G191+H191</f>
        <v/>
      </c>
      <c r="J191" s="15">
        <f>ROUND((I191-21.8)/21.8*100,2)</f>
        <v/>
      </c>
      <c r="K191" s="15" t="inlineStr">
        <is>
          <t>Normal</t>
        </is>
      </c>
    </row>
    <row r="192" ht="15" customHeight="1" s="11">
      <c r="A192" s="13" t="n">
        <v>191</v>
      </c>
      <c r="B192" s="13" t="inlineStr">
        <is>
          <t>COW007</t>
        </is>
      </c>
      <c r="C192" s="13" t="inlineStr">
        <is>
          <t>RFID100007</t>
        </is>
      </c>
      <c r="D192" s="13" t="inlineStr">
        <is>
          <t>2024-01-11</t>
        </is>
      </c>
      <c r="E192" s="13" t="inlineStr">
        <is>
          <t>08:00</t>
        </is>
      </c>
      <c r="F192" s="13" t="n">
        <v>7.96</v>
      </c>
      <c r="G192" s="13" t="n">
        <v>6.78</v>
      </c>
      <c r="H192" s="13" t="n">
        <v>7.26</v>
      </c>
      <c r="I192" s="15">
        <f>F192+G192+H192</f>
        <v/>
      </c>
      <c r="J192" s="15">
        <f>ROUND((I192-21.8)/21.8*100,2)</f>
        <v/>
      </c>
      <c r="K192" s="15" t="inlineStr">
        <is>
          <t>Normal</t>
        </is>
      </c>
    </row>
    <row r="193" ht="15" customHeight="1" s="11">
      <c r="A193" s="14" t="n">
        <v>192</v>
      </c>
      <c r="B193" s="14" t="inlineStr">
        <is>
          <t>COW007</t>
        </is>
      </c>
      <c r="C193" s="14" t="inlineStr">
        <is>
          <t>RFID100007</t>
        </is>
      </c>
      <c r="D193" s="14" t="inlineStr">
        <is>
          <t>2024-01-12</t>
        </is>
      </c>
      <c r="E193" s="14" t="inlineStr">
        <is>
          <t>08:00</t>
        </is>
      </c>
      <c r="F193" s="14" t="n">
        <v>7.97</v>
      </c>
      <c r="G193" s="14" t="n">
        <v>7.81</v>
      </c>
      <c r="H193" s="14" t="n">
        <v>6.97</v>
      </c>
      <c r="I193" s="15">
        <f>F193+G193+H193</f>
        <v/>
      </c>
      <c r="J193" s="15">
        <f>ROUND((I193-21.8)/21.8*100,2)</f>
        <v/>
      </c>
      <c r="K193" s="15" t="inlineStr">
        <is>
          <t>Normal</t>
        </is>
      </c>
    </row>
    <row r="194" ht="15" customHeight="1" s="11">
      <c r="A194" s="13" t="n">
        <v>193</v>
      </c>
      <c r="B194" s="13" t="inlineStr">
        <is>
          <t>COW007</t>
        </is>
      </c>
      <c r="C194" s="13" t="inlineStr">
        <is>
          <t>RFID100007</t>
        </is>
      </c>
      <c r="D194" s="13" t="inlineStr">
        <is>
          <t>2024-01-13</t>
        </is>
      </c>
      <c r="E194" s="13" t="inlineStr">
        <is>
          <t>08:00</t>
        </is>
      </c>
      <c r="F194" s="13" t="n">
        <v>6.6</v>
      </c>
      <c r="G194" s="13" t="n">
        <v>6.98</v>
      </c>
      <c r="H194" s="13" t="n">
        <v>7.13</v>
      </c>
      <c r="I194" s="15">
        <f>F194+G194+H194</f>
        <v/>
      </c>
      <c r="J194" s="15">
        <f>ROUND((I194-21.8)/21.8*100,2)</f>
        <v/>
      </c>
      <c r="K194" s="15" t="inlineStr">
        <is>
          <t>Normal</t>
        </is>
      </c>
    </row>
    <row r="195" ht="15" customHeight="1" s="11">
      <c r="A195" s="14" t="n">
        <v>194</v>
      </c>
      <c r="B195" s="14" t="inlineStr">
        <is>
          <t>COW007</t>
        </is>
      </c>
      <c r="C195" s="14" t="inlineStr">
        <is>
          <t>RFID100007</t>
        </is>
      </c>
      <c r="D195" s="14" t="inlineStr">
        <is>
          <t>2024-01-14</t>
        </is>
      </c>
      <c r="E195" s="14" t="inlineStr">
        <is>
          <t>08:00</t>
        </is>
      </c>
      <c r="F195" s="14" t="n">
        <v>8.06</v>
      </c>
      <c r="G195" s="14" t="n">
        <v>7.63</v>
      </c>
      <c r="H195" s="14" t="n">
        <v>6.87</v>
      </c>
      <c r="I195" s="15">
        <f>F195+G195+H195</f>
        <v/>
      </c>
      <c r="J195" s="15">
        <f>ROUND((I195-21.8)/21.8*100,2)</f>
        <v/>
      </c>
      <c r="K195" s="15" t="inlineStr">
        <is>
          <t>Normal</t>
        </is>
      </c>
    </row>
    <row r="196" ht="15" customHeight="1" s="11">
      <c r="A196" s="13" t="n">
        <v>195</v>
      </c>
      <c r="B196" s="13" t="inlineStr">
        <is>
          <t>COW007</t>
        </is>
      </c>
      <c r="C196" s="13" t="inlineStr">
        <is>
          <t>RFID100007</t>
        </is>
      </c>
      <c r="D196" s="13" t="inlineStr">
        <is>
          <t>2024-01-15</t>
        </is>
      </c>
      <c r="E196" s="13" t="inlineStr">
        <is>
          <t>08:00</t>
        </is>
      </c>
      <c r="F196" s="13" t="n">
        <v>7.46</v>
      </c>
      <c r="G196" s="13" t="n">
        <v>6.9</v>
      </c>
      <c r="H196" s="13" t="n">
        <v>7.36</v>
      </c>
      <c r="I196" s="15">
        <f>F196+G196+H196</f>
        <v/>
      </c>
      <c r="J196" s="15">
        <f>ROUND((I196-21.8)/21.8*100,2)</f>
        <v/>
      </c>
      <c r="K196" s="15" t="inlineStr">
        <is>
          <t>Normal</t>
        </is>
      </c>
    </row>
    <row r="197" ht="15" customHeight="1" s="11">
      <c r="A197" s="14" t="n">
        <v>196</v>
      </c>
      <c r="B197" s="14" t="inlineStr">
        <is>
          <t>COW007</t>
        </is>
      </c>
      <c r="C197" s="14" t="inlineStr">
        <is>
          <t>RFID100007</t>
        </is>
      </c>
      <c r="D197" s="14" t="inlineStr">
        <is>
          <t>2024-01-16</t>
        </is>
      </c>
      <c r="E197" s="14" t="inlineStr">
        <is>
          <t>08:00</t>
        </is>
      </c>
      <c r="F197" s="14" t="n">
        <v>7.26</v>
      </c>
      <c r="G197" s="14" t="n">
        <v>7.25</v>
      </c>
      <c r="H197" s="14" t="n">
        <v>6.37</v>
      </c>
      <c r="I197" s="15">
        <f>F197+G197+H197</f>
        <v/>
      </c>
      <c r="J197" s="15">
        <f>ROUND((I197-21.8)/21.8*100,2)</f>
        <v/>
      </c>
      <c r="K197" s="15" t="inlineStr">
        <is>
          <t>Normal</t>
        </is>
      </c>
    </row>
    <row r="198" ht="15" customHeight="1" s="11">
      <c r="A198" s="13" t="n">
        <v>197</v>
      </c>
      <c r="B198" s="13" t="inlineStr">
        <is>
          <t>COW007</t>
        </is>
      </c>
      <c r="C198" s="13" t="inlineStr">
        <is>
          <t>RFID100007</t>
        </is>
      </c>
      <c r="D198" s="13" t="inlineStr">
        <is>
          <t>2024-01-17</t>
        </is>
      </c>
      <c r="E198" s="13" t="inlineStr">
        <is>
          <t>08:00</t>
        </is>
      </c>
      <c r="F198" s="13" t="n">
        <v>7.36</v>
      </c>
      <c r="G198" s="13" t="n">
        <v>7.79</v>
      </c>
      <c r="H198" s="13" t="n">
        <v>6.69</v>
      </c>
      <c r="I198" s="15">
        <f>F198+G198+H198</f>
        <v/>
      </c>
      <c r="J198" s="15">
        <f>ROUND((I198-21.8)/21.8*100,2)</f>
        <v/>
      </c>
      <c r="K198" s="15" t="inlineStr">
        <is>
          <t>Normal</t>
        </is>
      </c>
    </row>
    <row r="199" ht="15" customHeight="1" s="11">
      <c r="A199" s="14" t="n">
        <v>198</v>
      </c>
      <c r="B199" s="14" t="inlineStr">
        <is>
          <t>COW007</t>
        </is>
      </c>
      <c r="C199" s="14" t="inlineStr">
        <is>
          <t>RFID100007</t>
        </is>
      </c>
      <c r="D199" s="14" t="inlineStr">
        <is>
          <t>2024-01-18</t>
        </is>
      </c>
      <c r="E199" s="14" t="inlineStr">
        <is>
          <t>08:00</t>
        </is>
      </c>
      <c r="F199" s="14" t="n">
        <v>7.75</v>
      </c>
      <c r="G199" s="14" t="n">
        <v>7.24</v>
      </c>
      <c r="H199" s="14" t="n">
        <v>7.59</v>
      </c>
      <c r="I199" s="15">
        <f>F199+G199+H199</f>
        <v/>
      </c>
      <c r="J199" s="15">
        <f>ROUND((I199-21.8)/21.8*100,2)</f>
        <v/>
      </c>
      <c r="K199" s="15" t="inlineStr">
        <is>
          <t>Normal</t>
        </is>
      </c>
    </row>
    <row r="200" ht="15" customHeight="1" s="11">
      <c r="A200" s="13" t="n">
        <v>199</v>
      </c>
      <c r="B200" s="13" t="inlineStr">
        <is>
          <t>COW007</t>
        </is>
      </c>
      <c r="C200" s="13" t="inlineStr">
        <is>
          <t>RFID100007</t>
        </is>
      </c>
      <c r="D200" s="13" t="inlineStr">
        <is>
          <t>2024-01-19</t>
        </is>
      </c>
      <c r="E200" s="13" t="inlineStr">
        <is>
          <t>08:00</t>
        </is>
      </c>
      <c r="F200" s="13" t="n">
        <v>8.029999999999999</v>
      </c>
      <c r="G200" s="13" t="n">
        <v>7.6</v>
      </c>
      <c r="H200" s="13" t="n">
        <v>6.77</v>
      </c>
      <c r="I200" s="15">
        <f>F200+G200+H200</f>
        <v/>
      </c>
      <c r="J200" s="15">
        <f>ROUND((I200-21.8)/21.8*100,2)</f>
        <v/>
      </c>
      <c r="K200" s="15" t="inlineStr">
        <is>
          <t>Normal</t>
        </is>
      </c>
    </row>
    <row r="201" ht="15" customHeight="1" s="11">
      <c r="A201" s="14" t="n">
        <v>200</v>
      </c>
      <c r="B201" s="14" t="inlineStr">
        <is>
          <t>COW007</t>
        </is>
      </c>
      <c r="C201" s="14" t="inlineStr">
        <is>
          <t>RFID100007</t>
        </is>
      </c>
      <c r="D201" s="14" t="inlineStr">
        <is>
          <t>2024-01-20</t>
        </is>
      </c>
      <c r="E201" s="14" t="inlineStr">
        <is>
          <t>08:00</t>
        </is>
      </c>
      <c r="F201" s="14" t="n">
        <v>7.09</v>
      </c>
      <c r="G201" s="14" t="n">
        <v>7.36</v>
      </c>
      <c r="H201" s="14" t="n">
        <v>7.43</v>
      </c>
      <c r="I201" s="15">
        <f>F201+G201+H201</f>
        <v/>
      </c>
      <c r="J201" s="15">
        <f>ROUND((I201-21.8)/21.8*100,2)</f>
        <v/>
      </c>
      <c r="K201" s="15" t="inlineStr">
        <is>
          <t>Normal</t>
        </is>
      </c>
    </row>
    <row r="202" ht="15" customHeight="1" s="11">
      <c r="A202" s="13" t="n">
        <v>201</v>
      </c>
      <c r="B202" s="13" t="inlineStr">
        <is>
          <t>COW007</t>
        </is>
      </c>
      <c r="C202" s="13" t="inlineStr">
        <is>
          <t>RFID100007</t>
        </is>
      </c>
      <c r="D202" s="13" t="inlineStr">
        <is>
          <t>2024-01-21</t>
        </is>
      </c>
      <c r="E202" s="13" t="inlineStr">
        <is>
          <t>08:00</t>
        </is>
      </c>
      <c r="F202" s="13" t="n">
        <v>8.06</v>
      </c>
      <c r="G202" s="13" t="n">
        <v>6.17</v>
      </c>
      <c r="H202" s="13" t="n">
        <v>6.22</v>
      </c>
      <c r="I202" s="15">
        <f>F202+G202+H202</f>
        <v/>
      </c>
      <c r="J202" s="15">
        <f>ROUND((I202-21.8)/21.8*100,2)</f>
        <v/>
      </c>
      <c r="K202" s="15" t="inlineStr">
        <is>
          <t>Normal</t>
        </is>
      </c>
    </row>
    <row r="203" ht="15" customHeight="1" s="11">
      <c r="A203" s="14" t="n">
        <v>202</v>
      </c>
      <c r="B203" s="14" t="inlineStr">
        <is>
          <t>COW007</t>
        </is>
      </c>
      <c r="C203" s="14" t="inlineStr">
        <is>
          <t>RFID100007</t>
        </is>
      </c>
      <c r="D203" s="14" t="inlineStr">
        <is>
          <t>2024-01-22</t>
        </is>
      </c>
      <c r="E203" s="14" t="inlineStr">
        <is>
          <t>08:00</t>
        </is>
      </c>
      <c r="F203" s="14" t="n">
        <v>7.64</v>
      </c>
      <c r="G203" s="14" t="n">
        <v>7.71</v>
      </c>
      <c r="H203" s="14" t="n">
        <v>7.84</v>
      </c>
      <c r="I203" s="15">
        <f>F203+G203+H203</f>
        <v/>
      </c>
      <c r="J203" s="15">
        <f>ROUND((I203-21.8)/21.8*100,2)</f>
        <v/>
      </c>
      <c r="K203" s="15" t="inlineStr">
        <is>
          <t>Normal</t>
        </is>
      </c>
    </row>
    <row r="204" ht="15" customHeight="1" s="11">
      <c r="A204" s="13" t="n">
        <v>203</v>
      </c>
      <c r="B204" s="13" t="inlineStr">
        <is>
          <t>COW007</t>
        </is>
      </c>
      <c r="C204" s="13" t="inlineStr">
        <is>
          <t>RFID100007</t>
        </is>
      </c>
      <c r="D204" s="13" t="inlineStr">
        <is>
          <t>2024-01-23</t>
        </is>
      </c>
      <c r="E204" s="13" t="inlineStr">
        <is>
          <t>08:00</t>
        </is>
      </c>
      <c r="F204" s="13" t="n">
        <v>7.84</v>
      </c>
      <c r="G204" s="13" t="n">
        <v>6.86</v>
      </c>
      <c r="H204" s="13" t="n">
        <v>6.28</v>
      </c>
      <c r="I204" s="15">
        <f>F204+G204+H204</f>
        <v/>
      </c>
      <c r="J204" s="15">
        <f>ROUND((I204-21.8)/21.8*100,2)</f>
        <v/>
      </c>
      <c r="K204" s="15" t="inlineStr">
        <is>
          <t>Normal</t>
        </is>
      </c>
    </row>
    <row r="205" ht="15" customHeight="1" s="11">
      <c r="A205" s="14" t="n">
        <v>204</v>
      </c>
      <c r="B205" s="14" t="inlineStr">
        <is>
          <t>COW007</t>
        </is>
      </c>
      <c r="C205" s="14" t="inlineStr">
        <is>
          <t>RFID100007</t>
        </is>
      </c>
      <c r="D205" s="14" t="inlineStr">
        <is>
          <t>2024-01-24</t>
        </is>
      </c>
      <c r="E205" s="14" t="inlineStr">
        <is>
          <t>08:00</t>
        </is>
      </c>
      <c r="F205" s="14" t="n">
        <v>7.65</v>
      </c>
      <c r="G205" s="14" t="n">
        <v>7.63</v>
      </c>
      <c r="H205" s="14" t="n">
        <v>6.88</v>
      </c>
      <c r="I205" s="15">
        <f>F205+G205+H205</f>
        <v/>
      </c>
      <c r="J205" s="15">
        <f>ROUND((I205-21.8)/21.8*100,2)</f>
        <v/>
      </c>
      <c r="K205" s="15" t="inlineStr">
        <is>
          <t>Normal</t>
        </is>
      </c>
    </row>
    <row r="206" ht="15" customHeight="1" s="11">
      <c r="A206" s="13" t="n">
        <v>205</v>
      </c>
      <c r="B206" s="13" t="inlineStr">
        <is>
          <t>COW007</t>
        </is>
      </c>
      <c r="C206" s="13" t="inlineStr">
        <is>
          <t>RFID100007</t>
        </is>
      </c>
      <c r="D206" s="13" t="inlineStr">
        <is>
          <t>2024-01-25</t>
        </is>
      </c>
      <c r="E206" s="13" t="inlineStr">
        <is>
          <t>08:00</t>
        </is>
      </c>
      <c r="F206" s="13" t="n">
        <v>7.75</v>
      </c>
      <c r="G206" s="13" t="n">
        <v>7.68</v>
      </c>
      <c r="H206" s="13" t="n">
        <v>6.18</v>
      </c>
      <c r="I206" s="15">
        <f>F206+G206+H206</f>
        <v/>
      </c>
      <c r="J206" s="15">
        <f>ROUND((I206-21.8)/21.8*100,2)</f>
        <v/>
      </c>
      <c r="K206" s="15" t="inlineStr">
        <is>
          <t>Normal</t>
        </is>
      </c>
    </row>
    <row r="207" ht="15" customHeight="1" s="11">
      <c r="A207" s="14" t="n">
        <v>206</v>
      </c>
      <c r="B207" s="14" t="inlineStr">
        <is>
          <t>COW007</t>
        </is>
      </c>
      <c r="C207" s="14" t="inlineStr">
        <is>
          <t>RFID100007</t>
        </is>
      </c>
      <c r="D207" s="14" t="inlineStr">
        <is>
          <t>2024-01-26</t>
        </is>
      </c>
      <c r="E207" s="14" t="inlineStr">
        <is>
          <t>08:00</t>
        </is>
      </c>
      <c r="F207" s="14" t="n">
        <v>7.93</v>
      </c>
      <c r="G207" s="14" t="n">
        <v>6.62</v>
      </c>
      <c r="H207" s="14" t="n">
        <v>6.76</v>
      </c>
      <c r="I207" s="15">
        <f>F207+G207+H207</f>
        <v/>
      </c>
      <c r="J207" s="15">
        <f>ROUND((I207-21.8)/21.8*100,2)</f>
        <v/>
      </c>
      <c r="K207" s="15" t="inlineStr">
        <is>
          <t>Normal</t>
        </is>
      </c>
    </row>
    <row r="208" ht="15" customHeight="1" s="11">
      <c r="A208" s="13" t="n">
        <v>207</v>
      </c>
      <c r="B208" s="13" t="inlineStr">
        <is>
          <t>COW007</t>
        </is>
      </c>
      <c r="C208" s="13" t="inlineStr">
        <is>
          <t>RFID100007</t>
        </is>
      </c>
      <c r="D208" s="13" t="inlineStr">
        <is>
          <t>2024-01-27</t>
        </is>
      </c>
      <c r="E208" s="13" t="inlineStr">
        <is>
          <t>08:00</t>
        </is>
      </c>
      <c r="F208" s="13" t="n">
        <v>6.79</v>
      </c>
      <c r="G208" s="13" t="n">
        <v>7.03</v>
      </c>
      <c r="H208" s="13" t="n">
        <v>7.09</v>
      </c>
      <c r="I208" s="15">
        <f>F208+G208+H208</f>
        <v/>
      </c>
      <c r="J208" s="15">
        <f>ROUND((I208-21.8)/21.8*100,2)</f>
        <v/>
      </c>
      <c r="K208" s="15" t="inlineStr">
        <is>
          <t>Normal</t>
        </is>
      </c>
    </row>
    <row r="209" ht="15" customHeight="1" s="11">
      <c r="A209" s="14" t="n">
        <v>208</v>
      </c>
      <c r="B209" s="14" t="inlineStr">
        <is>
          <t>COW007</t>
        </is>
      </c>
      <c r="C209" s="14" t="inlineStr">
        <is>
          <t>RFID100007</t>
        </is>
      </c>
      <c r="D209" s="14" t="inlineStr">
        <is>
          <t>2024-01-28</t>
        </is>
      </c>
      <c r="E209" s="14" t="inlineStr">
        <is>
          <t>08:00</t>
        </is>
      </c>
      <c r="F209" s="14" t="n">
        <v>7.92</v>
      </c>
      <c r="G209" s="14" t="n">
        <v>6.4</v>
      </c>
      <c r="H209" s="14" t="n">
        <v>6.24</v>
      </c>
      <c r="I209" s="15">
        <f>F209+G209+H209</f>
        <v/>
      </c>
      <c r="J209" s="15">
        <f>ROUND((I209-21.8)/21.8*100,2)</f>
        <v/>
      </c>
      <c r="K209" s="15" t="inlineStr">
        <is>
          <t>Normal</t>
        </is>
      </c>
    </row>
    <row r="210" ht="15" customHeight="1" s="11">
      <c r="A210" s="13" t="n">
        <v>209</v>
      </c>
      <c r="B210" s="13" t="inlineStr">
        <is>
          <t>COW007</t>
        </is>
      </c>
      <c r="C210" s="13" t="inlineStr">
        <is>
          <t>RFID100007</t>
        </is>
      </c>
      <c r="D210" s="13" t="inlineStr">
        <is>
          <t>2024-01-29</t>
        </is>
      </c>
      <c r="E210" s="13" t="inlineStr">
        <is>
          <t>08:00</t>
        </is>
      </c>
      <c r="F210" s="13" t="n">
        <v>8.06</v>
      </c>
      <c r="G210" s="13" t="n">
        <v>7.18</v>
      </c>
      <c r="H210" s="13" t="n">
        <v>6.52</v>
      </c>
      <c r="I210" s="15">
        <f>F210+G210+H210</f>
        <v/>
      </c>
      <c r="J210" s="15">
        <f>ROUND((I210-21.8)/21.8*100,2)</f>
        <v/>
      </c>
      <c r="K210" s="15" t="inlineStr">
        <is>
          <t>Normal</t>
        </is>
      </c>
    </row>
    <row r="211" ht="15" customHeight="1" s="11">
      <c r="A211" s="14" t="n">
        <v>210</v>
      </c>
      <c r="B211" s="14" t="inlineStr">
        <is>
          <t>COW007</t>
        </is>
      </c>
      <c r="C211" s="14" t="inlineStr">
        <is>
          <t>RFID100007</t>
        </is>
      </c>
      <c r="D211" s="14" t="inlineStr">
        <is>
          <t>2024-01-30</t>
        </is>
      </c>
      <c r="E211" s="14" t="inlineStr">
        <is>
          <t>08:00</t>
        </is>
      </c>
      <c r="F211" s="14" t="n">
        <v>8.130000000000001</v>
      </c>
      <c r="G211" s="14" t="n">
        <v>6.35</v>
      </c>
      <c r="H211" s="14" t="n">
        <v>6.91</v>
      </c>
      <c r="I211" s="15">
        <f>F211+G211+H211</f>
        <v/>
      </c>
      <c r="J211" s="15">
        <f>ROUND((I211-21.8)/21.8*100,2)</f>
        <v/>
      </c>
      <c r="K211" s="15" t="inlineStr">
        <is>
          <t>Normal</t>
        </is>
      </c>
    </row>
    <row r="212" ht="15" customHeight="1" s="11">
      <c r="A212" s="13" t="n">
        <v>211</v>
      </c>
      <c r="B212" s="13" t="inlineStr">
        <is>
          <t>COW008</t>
        </is>
      </c>
      <c r="C212" s="13" t="inlineStr">
        <is>
          <t>RFID100008</t>
        </is>
      </c>
      <c r="D212" s="13" t="inlineStr">
        <is>
          <t>2024-01-01</t>
        </is>
      </c>
      <c r="E212" s="13" t="inlineStr">
        <is>
          <t>08:00</t>
        </is>
      </c>
      <c r="F212" s="13" t="n">
        <v>6.57</v>
      </c>
      <c r="G212" s="13" t="n">
        <v>5.76</v>
      </c>
      <c r="H212" s="13" t="n">
        <v>7.06</v>
      </c>
      <c r="I212" s="15">
        <f>F212+G212+H212</f>
        <v/>
      </c>
      <c r="J212" s="15">
        <f>ROUND((I212-20.5)/20.5*100,2)</f>
        <v/>
      </c>
      <c r="K212" s="15" t="inlineStr">
        <is>
          <t>Normal</t>
        </is>
      </c>
    </row>
    <row r="213" ht="15" customHeight="1" s="11">
      <c r="A213" s="14" t="n">
        <v>212</v>
      </c>
      <c r="B213" s="14" t="inlineStr">
        <is>
          <t>COW008</t>
        </is>
      </c>
      <c r="C213" s="14" t="inlineStr">
        <is>
          <t>RFID100008</t>
        </is>
      </c>
      <c r="D213" s="14" t="inlineStr">
        <is>
          <t>2024-01-02</t>
        </is>
      </c>
      <c r="E213" s="14" t="inlineStr">
        <is>
          <t>08:00</t>
        </is>
      </c>
      <c r="F213" s="14" t="n">
        <v>7.63</v>
      </c>
      <c r="G213" s="14" t="n">
        <v>6.85</v>
      </c>
      <c r="H213" s="14" t="n">
        <v>6</v>
      </c>
      <c r="I213" s="15">
        <f>F213+G213+H213</f>
        <v/>
      </c>
      <c r="J213" s="15">
        <f>ROUND((I213-20.5)/20.5*100,2)</f>
        <v/>
      </c>
      <c r="K213" s="15" t="inlineStr">
        <is>
          <t>Normal</t>
        </is>
      </c>
    </row>
    <row r="214" ht="15" customHeight="1" s="11">
      <c r="A214" s="13" t="n">
        <v>213</v>
      </c>
      <c r="B214" s="13" t="inlineStr">
        <is>
          <t>COW008</t>
        </is>
      </c>
      <c r="C214" s="13" t="inlineStr">
        <is>
          <t>RFID100008</t>
        </is>
      </c>
      <c r="D214" s="13" t="inlineStr">
        <is>
          <t>2024-01-03</t>
        </is>
      </c>
      <c r="E214" s="13" t="inlineStr">
        <is>
          <t>08:00</t>
        </is>
      </c>
      <c r="F214" s="13" t="n">
        <v>6.87</v>
      </c>
      <c r="G214" s="13" t="n">
        <v>6.31</v>
      </c>
      <c r="H214" s="13" t="n">
        <v>6.7</v>
      </c>
      <c r="I214" s="15">
        <f>F214+G214+H214</f>
        <v/>
      </c>
      <c r="J214" s="15">
        <f>ROUND((I214-20.5)/20.5*100,2)</f>
        <v/>
      </c>
      <c r="K214" s="15" t="inlineStr">
        <is>
          <t>Normal</t>
        </is>
      </c>
    </row>
    <row r="215" ht="15" customHeight="1" s="11">
      <c r="A215" s="14" t="n">
        <v>214</v>
      </c>
      <c r="B215" s="14" t="inlineStr">
        <is>
          <t>COW008</t>
        </is>
      </c>
      <c r="C215" s="14" t="inlineStr">
        <is>
          <t>RFID100008</t>
        </is>
      </c>
      <c r="D215" s="14" t="inlineStr">
        <is>
          <t>2024-01-04</t>
        </is>
      </c>
      <c r="E215" s="14" t="inlineStr">
        <is>
          <t>08:00</t>
        </is>
      </c>
      <c r="F215" s="14" t="n">
        <v>7.2</v>
      </c>
      <c r="G215" s="14" t="n">
        <v>6.44</v>
      </c>
      <c r="H215" s="14" t="n">
        <v>6.15</v>
      </c>
      <c r="I215" s="15">
        <f>F215+G215+H215</f>
        <v/>
      </c>
      <c r="J215" s="15">
        <f>ROUND((I215-20.5)/20.5*100,2)</f>
        <v/>
      </c>
      <c r="K215" s="15" t="inlineStr">
        <is>
          <t>Normal</t>
        </is>
      </c>
    </row>
    <row r="216" ht="15" customHeight="1" s="11">
      <c r="A216" s="13" t="n">
        <v>215</v>
      </c>
      <c r="B216" s="13" t="inlineStr">
        <is>
          <t>COW008</t>
        </is>
      </c>
      <c r="C216" s="13" t="inlineStr">
        <is>
          <t>RFID100008</t>
        </is>
      </c>
      <c r="D216" s="13" t="inlineStr">
        <is>
          <t>2024-01-05</t>
        </is>
      </c>
      <c r="E216" s="13" t="inlineStr">
        <is>
          <t>08:00</t>
        </is>
      </c>
      <c r="F216" s="13" t="n">
        <v>7.54</v>
      </c>
      <c r="G216" s="13" t="n">
        <v>6.07</v>
      </c>
      <c r="H216" s="13" t="n">
        <v>6.37</v>
      </c>
      <c r="I216" s="15">
        <f>F216+G216+H216</f>
        <v/>
      </c>
      <c r="J216" s="15">
        <f>ROUND((I216-20.5)/20.5*100,2)</f>
        <v/>
      </c>
      <c r="K216" s="15" t="inlineStr">
        <is>
          <t>Normal</t>
        </is>
      </c>
    </row>
    <row r="217" ht="15" customHeight="1" s="11">
      <c r="A217" s="14" t="n">
        <v>216</v>
      </c>
      <c r="B217" s="14" t="inlineStr">
        <is>
          <t>COW008</t>
        </is>
      </c>
      <c r="C217" s="14" t="inlineStr">
        <is>
          <t>RFID100008</t>
        </is>
      </c>
      <c r="D217" s="14" t="inlineStr">
        <is>
          <t>2024-01-06</t>
        </is>
      </c>
      <c r="E217" s="14" t="inlineStr">
        <is>
          <t>08:00</t>
        </is>
      </c>
      <c r="F217" s="14" t="n">
        <v>6.94</v>
      </c>
      <c r="G217" s="14" t="n">
        <v>6.13</v>
      </c>
      <c r="H217" s="14" t="n">
        <v>6.68</v>
      </c>
      <c r="I217" s="15">
        <f>F217+G217+H217</f>
        <v/>
      </c>
      <c r="J217" s="15">
        <f>ROUND((I217-20.5)/20.5*100,2)</f>
        <v/>
      </c>
      <c r="K217" s="15" t="inlineStr">
        <is>
          <t>Normal</t>
        </is>
      </c>
    </row>
    <row r="218" ht="15" customHeight="1" s="11">
      <c r="A218" s="13" t="n">
        <v>217</v>
      </c>
      <c r="B218" s="13" t="inlineStr">
        <is>
          <t>COW008</t>
        </is>
      </c>
      <c r="C218" s="13" t="inlineStr">
        <is>
          <t>RFID100008</t>
        </is>
      </c>
      <c r="D218" s="13" t="inlineStr">
        <is>
          <t>2024-01-07</t>
        </is>
      </c>
      <c r="E218" s="13" t="inlineStr">
        <is>
          <t>08:00</t>
        </is>
      </c>
      <c r="F218" s="13" t="n">
        <v>7.09</v>
      </c>
      <c r="G218" s="13" t="n">
        <v>7.37</v>
      </c>
      <c r="H218" s="13" t="n">
        <v>6.22</v>
      </c>
      <c r="I218" s="15">
        <f>F218+G218+H218</f>
        <v/>
      </c>
      <c r="J218" s="15">
        <f>ROUND((I218-20.5)/20.5*100,2)</f>
        <v/>
      </c>
      <c r="K218" s="15" t="inlineStr">
        <is>
          <t>Normal</t>
        </is>
      </c>
    </row>
    <row r="219" ht="15" customHeight="1" s="11">
      <c r="A219" s="14" t="n">
        <v>218</v>
      </c>
      <c r="B219" s="14" t="inlineStr">
        <is>
          <t>COW008</t>
        </is>
      </c>
      <c r="C219" s="14" t="inlineStr">
        <is>
          <t>RFID100008</t>
        </is>
      </c>
      <c r="D219" s="14" t="inlineStr">
        <is>
          <t>2024-01-08</t>
        </is>
      </c>
      <c r="E219" s="14" t="inlineStr">
        <is>
          <t>08:00</t>
        </is>
      </c>
      <c r="F219" s="14" t="n">
        <v>7.75</v>
      </c>
      <c r="G219" s="14" t="n">
        <v>6.82</v>
      </c>
      <c r="H219" s="14" t="n">
        <v>6.19</v>
      </c>
      <c r="I219" s="15">
        <f>F219+G219+H219</f>
        <v/>
      </c>
      <c r="J219" s="15">
        <f>ROUND((I219-20.5)/20.5*100,2)</f>
        <v/>
      </c>
      <c r="K219" s="15" t="inlineStr">
        <is>
          <t>Normal</t>
        </is>
      </c>
    </row>
    <row r="220" ht="15" customHeight="1" s="11">
      <c r="A220" s="13" t="n">
        <v>219</v>
      </c>
      <c r="B220" s="13" t="inlineStr">
        <is>
          <t>COW008</t>
        </is>
      </c>
      <c r="C220" s="13" t="inlineStr">
        <is>
          <t>RFID100008</t>
        </is>
      </c>
      <c r="D220" s="13" t="inlineStr">
        <is>
          <t>2024-01-09</t>
        </is>
      </c>
      <c r="E220" s="13" t="inlineStr">
        <is>
          <t>08:00</t>
        </is>
      </c>
      <c r="F220" s="13" t="n">
        <v>7.08</v>
      </c>
      <c r="G220" s="13" t="n">
        <v>6.86</v>
      </c>
      <c r="H220" s="13" t="n">
        <v>6.96</v>
      </c>
      <c r="I220" s="15">
        <f>F220+G220+H220</f>
        <v/>
      </c>
      <c r="J220" s="15">
        <f>ROUND((I220-20.5)/20.5*100,2)</f>
        <v/>
      </c>
      <c r="K220" s="15" t="inlineStr">
        <is>
          <t>Normal</t>
        </is>
      </c>
    </row>
    <row r="221" ht="15" customHeight="1" s="11">
      <c r="A221" s="14" t="n">
        <v>220</v>
      </c>
      <c r="B221" s="14" t="inlineStr">
        <is>
          <t>COW008</t>
        </is>
      </c>
      <c r="C221" s="14" t="inlineStr">
        <is>
          <t>RFID100008</t>
        </is>
      </c>
      <c r="D221" s="14" t="inlineStr">
        <is>
          <t>2024-01-10</t>
        </is>
      </c>
      <c r="E221" s="14" t="inlineStr">
        <is>
          <t>08:00</t>
        </is>
      </c>
      <c r="F221" s="14" t="n">
        <v>6.23</v>
      </c>
      <c r="G221" s="14" t="n">
        <v>6.73</v>
      </c>
      <c r="H221" s="14" t="n">
        <v>6.55</v>
      </c>
      <c r="I221" s="15">
        <f>F221+G221+H221</f>
        <v/>
      </c>
      <c r="J221" s="15">
        <f>ROUND((I221-20.5)/20.5*100,2)</f>
        <v/>
      </c>
      <c r="K221" s="15" t="inlineStr">
        <is>
          <t>Normal</t>
        </is>
      </c>
    </row>
    <row r="222" ht="15" customHeight="1" s="11">
      <c r="A222" s="13" t="n">
        <v>221</v>
      </c>
      <c r="B222" s="13" t="inlineStr">
        <is>
          <t>COW008</t>
        </is>
      </c>
      <c r="C222" s="13" t="inlineStr">
        <is>
          <t>RFID100008</t>
        </is>
      </c>
      <c r="D222" s="13" t="inlineStr">
        <is>
          <t>2024-01-11</t>
        </is>
      </c>
      <c r="E222" s="13" t="inlineStr">
        <is>
          <t>08:00</t>
        </is>
      </c>
      <c r="F222" s="13" t="n">
        <v>7.63</v>
      </c>
      <c r="G222" s="13" t="n">
        <v>6.21</v>
      </c>
      <c r="H222" s="13" t="n">
        <v>7.05</v>
      </c>
      <c r="I222" s="15">
        <f>F222+G222+H222</f>
        <v/>
      </c>
      <c r="J222" s="15">
        <f>ROUND((I222-20.5)/20.5*100,2)</f>
        <v/>
      </c>
      <c r="K222" s="15" t="inlineStr">
        <is>
          <t>Normal</t>
        </is>
      </c>
    </row>
    <row r="223" ht="15" customHeight="1" s="11">
      <c r="A223" s="14" t="n">
        <v>222</v>
      </c>
      <c r="B223" s="14" t="inlineStr">
        <is>
          <t>COW008</t>
        </is>
      </c>
      <c r="C223" s="14" t="inlineStr">
        <is>
          <t>RFID100008</t>
        </is>
      </c>
      <c r="D223" s="14" t="inlineStr">
        <is>
          <t>2024-01-12</t>
        </is>
      </c>
      <c r="E223" s="14" t="inlineStr">
        <is>
          <t>08:00</t>
        </is>
      </c>
      <c r="F223" s="14" t="n">
        <v>7.15</v>
      </c>
      <c r="G223" s="14" t="n">
        <v>6.32</v>
      </c>
      <c r="H223" s="14" t="n">
        <v>6.78</v>
      </c>
      <c r="I223" s="15">
        <f>F223+G223+H223</f>
        <v/>
      </c>
      <c r="J223" s="15">
        <f>ROUND((I223-20.5)/20.5*100,2)</f>
        <v/>
      </c>
      <c r="K223" s="15" t="inlineStr">
        <is>
          <t>Normal</t>
        </is>
      </c>
    </row>
    <row r="224" ht="15" customHeight="1" s="11">
      <c r="A224" s="13" t="n">
        <v>223</v>
      </c>
      <c r="B224" s="13" t="inlineStr">
        <is>
          <t>COW008</t>
        </is>
      </c>
      <c r="C224" s="13" t="inlineStr">
        <is>
          <t>RFID100008</t>
        </is>
      </c>
      <c r="D224" s="13" t="inlineStr">
        <is>
          <t>2024-01-13</t>
        </is>
      </c>
      <c r="E224" s="13" t="inlineStr">
        <is>
          <t>08:00</t>
        </is>
      </c>
      <c r="F224" s="13" t="n">
        <v>7.17</v>
      </c>
      <c r="G224" s="13" t="n">
        <v>6.85</v>
      </c>
      <c r="H224" s="13" t="n">
        <v>6.92</v>
      </c>
      <c r="I224" s="15">
        <f>F224+G224+H224</f>
        <v/>
      </c>
      <c r="J224" s="15">
        <f>ROUND((I224-20.5)/20.5*100,2)</f>
        <v/>
      </c>
      <c r="K224" s="15" t="inlineStr">
        <is>
          <t>Normal</t>
        </is>
      </c>
    </row>
    <row r="225" ht="15" customHeight="1" s="11">
      <c r="A225" s="14" t="n">
        <v>224</v>
      </c>
      <c r="B225" s="14" t="inlineStr">
        <is>
          <t>COW008</t>
        </is>
      </c>
      <c r="C225" s="14" t="inlineStr">
        <is>
          <t>RFID100008</t>
        </is>
      </c>
      <c r="D225" s="14" t="inlineStr">
        <is>
          <t>2024-01-14</t>
        </is>
      </c>
      <c r="E225" s="14" t="inlineStr">
        <is>
          <t>08:00</t>
        </is>
      </c>
      <c r="F225" s="14" t="n">
        <v>7.23</v>
      </c>
      <c r="G225" s="14" t="n">
        <v>7.11</v>
      </c>
      <c r="H225" s="14" t="n">
        <v>6.77</v>
      </c>
      <c r="I225" s="15">
        <f>F225+G225+H225</f>
        <v/>
      </c>
      <c r="J225" s="15">
        <f>ROUND((I225-20.5)/20.5*100,2)</f>
        <v/>
      </c>
      <c r="K225" s="15" t="inlineStr">
        <is>
          <t>Normal</t>
        </is>
      </c>
    </row>
    <row r="226" ht="15" customHeight="1" s="11">
      <c r="A226" s="13" t="n">
        <v>225</v>
      </c>
      <c r="B226" s="13" t="inlineStr">
        <is>
          <t>COW008</t>
        </is>
      </c>
      <c r="C226" s="13" t="inlineStr">
        <is>
          <t>RFID100008</t>
        </is>
      </c>
      <c r="D226" s="13" t="inlineStr">
        <is>
          <t>2024-01-15</t>
        </is>
      </c>
      <c r="E226" s="13" t="inlineStr">
        <is>
          <t>08:00</t>
        </is>
      </c>
      <c r="F226" s="13" t="n">
        <v>7.63</v>
      </c>
      <c r="G226" s="13" t="n">
        <v>6.8</v>
      </c>
      <c r="H226" s="13" t="n">
        <v>6.25</v>
      </c>
      <c r="I226" s="15">
        <f>F226+G226+H226</f>
        <v/>
      </c>
      <c r="J226" s="15">
        <f>ROUND((I226-20.5)/20.5*100,2)</f>
        <v/>
      </c>
      <c r="K226" s="15" t="inlineStr">
        <is>
          <t>Normal</t>
        </is>
      </c>
    </row>
    <row r="227" ht="15" customHeight="1" s="11">
      <c r="A227" s="14" t="n">
        <v>226</v>
      </c>
      <c r="B227" s="14" t="inlineStr">
        <is>
          <t>COW008</t>
        </is>
      </c>
      <c r="C227" s="14" t="inlineStr">
        <is>
          <t>RFID100008</t>
        </is>
      </c>
      <c r="D227" s="14" t="inlineStr">
        <is>
          <t>2024-01-16</t>
        </is>
      </c>
      <c r="E227" s="14" t="inlineStr">
        <is>
          <t>08:00</t>
        </is>
      </c>
      <c r="F227" s="14" t="n">
        <v>6.87</v>
      </c>
      <c r="G227" s="14" t="n">
        <v>6.69</v>
      </c>
      <c r="H227" s="14" t="n">
        <v>6.94</v>
      </c>
      <c r="I227" s="15">
        <f>F227+G227+H227</f>
        <v/>
      </c>
      <c r="J227" s="15">
        <f>ROUND((I227-20.5)/20.5*100,2)</f>
        <v/>
      </c>
      <c r="K227" s="15" t="inlineStr">
        <is>
          <t>Normal</t>
        </is>
      </c>
    </row>
    <row r="228" ht="15" customHeight="1" s="11">
      <c r="A228" s="13" t="n">
        <v>227</v>
      </c>
      <c r="B228" s="13" t="inlineStr">
        <is>
          <t>COW008</t>
        </is>
      </c>
      <c r="C228" s="13" t="inlineStr">
        <is>
          <t>RFID100008</t>
        </is>
      </c>
      <c r="D228" s="13" t="inlineStr">
        <is>
          <t>2024-01-17</t>
        </is>
      </c>
      <c r="E228" s="13" t="inlineStr">
        <is>
          <t>08:00</t>
        </is>
      </c>
      <c r="F228" s="13" t="n">
        <v>6.3</v>
      </c>
      <c r="G228" s="13" t="n">
        <v>6.22</v>
      </c>
      <c r="H228" s="13" t="n">
        <v>6.97</v>
      </c>
      <c r="I228" s="15">
        <f>F228+G228+H228</f>
        <v/>
      </c>
      <c r="J228" s="15">
        <f>ROUND((I228-20.5)/20.5*100,2)</f>
        <v/>
      </c>
      <c r="K228" s="15" t="inlineStr">
        <is>
          <t>Normal</t>
        </is>
      </c>
    </row>
    <row r="229" ht="15" customHeight="1" s="11">
      <c r="A229" s="14" t="n">
        <v>228</v>
      </c>
      <c r="B229" s="14" t="inlineStr">
        <is>
          <t>COW008</t>
        </is>
      </c>
      <c r="C229" s="14" t="inlineStr">
        <is>
          <t>RFID100008</t>
        </is>
      </c>
      <c r="D229" s="14" t="inlineStr">
        <is>
          <t>2024-01-18</t>
        </is>
      </c>
      <c r="E229" s="14" t="inlineStr">
        <is>
          <t>08:00</t>
        </is>
      </c>
      <c r="F229" s="14" t="n">
        <v>6.44</v>
      </c>
      <c r="G229" s="14" t="n">
        <v>5.96</v>
      </c>
      <c r="H229" s="14" t="n">
        <v>6.62</v>
      </c>
      <c r="I229" s="15">
        <f>F229+G229+H229</f>
        <v/>
      </c>
      <c r="J229" s="15">
        <f>ROUND((I229-20.5)/20.5*100,2)</f>
        <v/>
      </c>
      <c r="K229" s="15" t="inlineStr">
        <is>
          <t>Normal</t>
        </is>
      </c>
    </row>
    <row r="230" ht="15" customHeight="1" s="11">
      <c r="A230" s="13" t="n">
        <v>229</v>
      </c>
      <c r="B230" s="13" t="inlineStr">
        <is>
          <t>COW008</t>
        </is>
      </c>
      <c r="C230" s="13" t="inlineStr">
        <is>
          <t>RFID100008</t>
        </is>
      </c>
      <c r="D230" s="13" t="inlineStr">
        <is>
          <t>2024-01-19</t>
        </is>
      </c>
      <c r="E230" s="13" t="inlineStr">
        <is>
          <t>08:00</t>
        </is>
      </c>
      <c r="F230" s="13" t="n">
        <v>7.74</v>
      </c>
      <c r="G230" s="13" t="n">
        <v>6.61</v>
      </c>
      <c r="H230" s="13" t="n">
        <v>7.24</v>
      </c>
      <c r="I230" s="15">
        <f>F230+G230+H230</f>
        <v/>
      </c>
      <c r="J230" s="15">
        <f>ROUND((I230-20.5)/20.5*100,2)</f>
        <v/>
      </c>
      <c r="K230" s="15" t="inlineStr">
        <is>
          <t>Normal</t>
        </is>
      </c>
    </row>
    <row r="231" ht="15" customHeight="1" s="11">
      <c r="A231" s="14" t="n">
        <v>230</v>
      </c>
      <c r="B231" s="14" t="inlineStr">
        <is>
          <t>COW008</t>
        </is>
      </c>
      <c r="C231" s="14" t="inlineStr">
        <is>
          <t>RFID100008</t>
        </is>
      </c>
      <c r="D231" s="14" t="inlineStr">
        <is>
          <t>2024-01-20</t>
        </is>
      </c>
      <c r="E231" s="14" t="inlineStr">
        <is>
          <t>08:00</t>
        </is>
      </c>
      <c r="F231" s="14" t="n">
        <v>7.51</v>
      </c>
      <c r="G231" s="14" t="n">
        <v>6.16</v>
      </c>
      <c r="H231" s="14" t="n">
        <v>7.09</v>
      </c>
      <c r="I231" s="15">
        <f>F231+G231+H231</f>
        <v/>
      </c>
      <c r="J231" s="15">
        <f>ROUND((I231-20.5)/20.5*100,2)</f>
        <v/>
      </c>
      <c r="K231" s="15" t="inlineStr">
        <is>
          <t>Normal</t>
        </is>
      </c>
    </row>
    <row r="232" ht="15" customHeight="1" s="11">
      <c r="A232" s="13" t="n">
        <v>231</v>
      </c>
      <c r="B232" s="13" t="inlineStr">
        <is>
          <t>COW008</t>
        </is>
      </c>
      <c r="C232" s="13" t="inlineStr">
        <is>
          <t>RFID100008</t>
        </is>
      </c>
      <c r="D232" s="13" t="inlineStr">
        <is>
          <t>2024-01-21</t>
        </is>
      </c>
      <c r="E232" s="13" t="inlineStr">
        <is>
          <t>08:00</t>
        </is>
      </c>
      <c r="F232" s="13" t="n">
        <v>6.94</v>
      </c>
      <c r="G232" s="13" t="n">
        <v>7.06</v>
      </c>
      <c r="H232" s="13" t="n">
        <v>6.96</v>
      </c>
      <c r="I232" s="15">
        <f>F232+G232+H232</f>
        <v/>
      </c>
      <c r="J232" s="15">
        <f>ROUND((I232-20.5)/20.5*100,2)</f>
        <v/>
      </c>
      <c r="K232" s="15" t="inlineStr">
        <is>
          <t>Normal</t>
        </is>
      </c>
    </row>
    <row r="233" ht="15" customHeight="1" s="11">
      <c r="A233" s="14" t="n">
        <v>232</v>
      </c>
      <c r="B233" s="14" t="inlineStr">
        <is>
          <t>COW008</t>
        </is>
      </c>
      <c r="C233" s="14" t="inlineStr">
        <is>
          <t>RFID100008</t>
        </is>
      </c>
      <c r="D233" s="14" t="inlineStr">
        <is>
          <t>2024-01-22</t>
        </is>
      </c>
      <c r="E233" s="14" t="inlineStr">
        <is>
          <t>08:00</t>
        </is>
      </c>
      <c r="F233" s="14" t="n">
        <v>6.71</v>
      </c>
      <c r="G233" s="14" t="n">
        <v>5.93</v>
      </c>
      <c r="H233" s="14" t="n">
        <v>7.32</v>
      </c>
      <c r="I233" s="15">
        <f>F233+G233+H233</f>
        <v/>
      </c>
      <c r="J233" s="15">
        <f>ROUND((I233-20.5)/20.5*100,2)</f>
        <v/>
      </c>
      <c r="K233" s="15" t="inlineStr">
        <is>
          <t>Normal</t>
        </is>
      </c>
    </row>
    <row r="234" ht="15" customHeight="1" s="11">
      <c r="A234" s="13" t="n">
        <v>233</v>
      </c>
      <c r="B234" s="13" t="inlineStr">
        <is>
          <t>COW008</t>
        </is>
      </c>
      <c r="C234" s="13" t="inlineStr">
        <is>
          <t>RFID100008</t>
        </is>
      </c>
      <c r="D234" s="13" t="inlineStr">
        <is>
          <t>2024-01-23</t>
        </is>
      </c>
      <c r="E234" s="13" t="inlineStr">
        <is>
          <t>08:00</t>
        </is>
      </c>
      <c r="F234" s="13" t="n">
        <v>6.38</v>
      </c>
      <c r="G234" s="13" t="n">
        <v>7.33</v>
      </c>
      <c r="H234" s="13" t="n">
        <v>7.15</v>
      </c>
      <c r="I234" s="15">
        <f>F234+G234+H234</f>
        <v/>
      </c>
      <c r="J234" s="15">
        <f>ROUND((I234-20.5)/20.5*100,2)</f>
        <v/>
      </c>
      <c r="K234" s="15" t="inlineStr">
        <is>
          <t>Normal</t>
        </is>
      </c>
    </row>
    <row r="235" ht="15" customHeight="1" s="11">
      <c r="A235" s="14" t="n">
        <v>234</v>
      </c>
      <c r="B235" s="14" t="inlineStr">
        <is>
          <t>COW008</t>
        </is>
      </c>
      <c r="C235" s="14" t="inlineStr">
        <is>
          <t>RFID100008</t>
        </is>
      </c>
      <c r="D235" s="14" t="inlineStr">
        <is>
          <t>2024-01-24</t>
        </is>
      </c>
      <c r="E235" s="14" t="inlineStr">
        <is>
          <t>08:00</t>
        </is>
      </c>
      <c r="F235" s="14" t="n">
        <v>7.34</v>
      </c>
      <c r="G235" s="14" t="n">
        <v>7.35</v>
      </c>
      <c r="H235" s="14" t="n">
        <v>7.33</v>
      </c>
      <c r="I235" s="15">
        <f>F235+G235+H235</f>
        <v/>
      </c>
      <c r="J235" s="15">
        <f>ROUND((I235-20.5)/20.5*100,2)</f>
        <v/>
      </c>
      <c r="K235" s="15" t="inlineStr">
        <is>
          <t>Normal</t>
        </is>
      </c>
    </row>
    <row r="236" ht="15" customHeight="1" s="11">
      <c r="A236" s="13" t="n">
        <v>235</v>
      </c>
      <c r="B236" s="13" t="inlineStr">
        <is>
          <t>COW008</t>
        </is>
      </c>
      <c r="C236" s="13" t="inlineStr">
        <is>
          <t>RFID100008</t>
        </is>
      </c>
      <c r="D236" s="13" t="inlineStr">
        <is>
          <t>2024-01-25</t>
        </is>
      </c>
      <c r="E236" s="13" t="inlineStr">
        <is>
          <t>08:00</t>
        </is>
      </c>
      <c r="F236" s="13" t="n">
        <v>7.47</v>
      </c>
      <c r="G236" s="13" t="n">
        <v>6.34</v>
      </c>
      <c r="H236" s="13" t="n">
        <v>7.04</v>
      </c>
      <c r="I236" s="15">
        <f>F236+G236+H236</f>
        <v/>
      </c>
      <c r="J236" s="15">
        <f>ROUND((I236-20.5)/20.5*100,2)</f>
        <v/>
      </c>
      <c r="K236" s="15" t="inlineStr">
        <is>
          <t>Normal</t>
        </is>
      </c>
    </row>
    <row r="237" ht="15" customHeight="1" s="11">
      <c r="A237" s="14" t="n">
        <v>236</v>
      </c>
      <c r="B237" s="14" t="inlineStr">
        <is>
          <t>COW008</t>
        </is>
      </c>
      <c r="C237" s="14" t="inlineStr">
        <is>
          <t>RFID100008</t>
        </is>
      </c>
      <c r="D237" s="14" t="inlineStr">
        <is>
          <t>2024-01-26</t>
        </is>
      </c>
      <c r="E237" s="14" t="inlineStr">
        <is>
          <t>08:00</t>
        </is>
      </c>
      <c r="F237" s="14" t="n">
        <v>6.17</v>
      </c>
      <c r="G237" s="14" t="n">
        <v>6.62</v>
      </c>
      <c r="H237" s="14" t="n">
        <v>6.49</v>
      </c>
      <c r="I237" s="15">
        <f>F237+G237+H237</f>
        <v/>
      </c>
      <c r="J237" s="15">
        <f>ROUND((I237-20.5)/20.5*100,2)</f>
        <v/>
      </c>
      <c r="K237" s="15" t="inlineStr">
        <is>
          <t>Normal</t>
        </is>
      </c>
    </row>
    <row r="238" ht="15" customHeight="1" s="11">
      <c r="A238" s="13" t="n">
        <v>237</v>
      </c>
      <c r="B238" s="13" t="inlineStr">
        <is>
          <t>COW008</t>
        </is>
      </c>
      <c r="C238" s="13" t="inlineStr">
        <is>
          <t>RFID100008</t>
        </is>
      </c>
      <c r="D238" s="13" t="inlineStr">
        <is>
          <t>2024-01-27</t>
        </is>
      </c>
      <c r="E238" s="13" t="inlineStr">
        <is>
          <t>08:00</t>
        </is>
      </c>
      <c r="F238" s="13" t="n">
        <v>7.25</v>
      </c>
      <c r="G238" s="13" t="n">
        <v>6.84</v>
      </c>
      <c r="H238" s="13" t="n">
        <v>6.7</v>
      </c>
      <c r="I238" s="15">
        <f>F238+G238+H238</f>
        <v/>
      </c>
      <c r="J238" s="15">
        <f>ROUND((I238-20.5)/20.5*100,2)</f>
        <v/>
      </c>
      <c r="K238" s="15" t="inlineStr">
        <is>
          <t>Normal</t>
        </is>
      </c>
    </row>
    <row r="239" ht="15" customHeight="1" s="11">
      <c r="A239" s="14" t="n">
        <v>238</v>
      </c>
      <c r="B239" s="14" t="inlineStr">
        <is>
          <t>COW008</t>
        </is>
      </c>
      <c r="C239" s="14" t="inlineStr">
        <is>
          <t>RFID100008</t>
        </is>
      </c>
      <c r="D239" s="14" t="inlineStr">
        <is>
          <t>2024-01-28</t>
        </is>
      </c>
      <c r="E239" s="14" t="inlineStr">
        <is>
          <t>08:00</t>
        </is>
      </c>
      <c r="F239" s="14" t="n">
        <v>7.5</v>
      </c>
      <c r="G239" s="14" t="n">
        <v>7.28</v>
      </c>
      <c r="H239" s="14" t="n">
        <v>5.92</v>
      </c>
      <c r="I239" s="15">
        <f>F239+G239+H239</f>
        <v/>
      </c>
      <c r="J239" s="15">
        <f>ROUND((I239-20.5)/20.5*100,2)</f>
        <v/>
      </c>
      <c r="K239" s="15" t="inlineStr">
        <is>
          <t>Normal</t>
        </is>
      </c>
    </row>
    <row r="240" ht="15" customHeight="1" s="11">
      <c r="A240" s="13" t="n">
        <v>239</v>
      </c>
      <c r="B240" s="13" t="inlineStr">
        <is>
          <t>COW008</t>
        </is>
      </c>
      <c r="C240" s="13" t="inlineStr">
        <is>
          <t>RFID100008</t>
        </is>
      </c>
      <c r="D240" s="13" t="inlineStr">
        <is>
          <t>2024-01-29</t>
        </is>
      </c>
      <c r="E240" s="13" t="inlineStr">
        <is>
          <t>08:00</t>
        </is>
      </c>
      <c r="F240" s="13" t="n">
        <v>6.53</v>
      </c>
      <c r="G240" s="13" t="n">
        <v>5.78</v>
      </c>
      <c r="H240" s="13" t="n">
        <v>7.19</v>
      </c>
      <c r="I240" s="15">
        <f>F240+G240+H240</f>
        <v/>
      </c>
      <c r="J240" s="15">
        <f>ROUND((I240-20.5)/20.5*100,2)</f>
        <v/>
      </c>
      <c r="K240" s="15" t="inlineStr">
        <is>
          <t>Normal</t>
        </is>
      </c>
    </row>
    <row r="241" ht="15" customHeight="1" s="11">
      <c r="A241" s="14" t="n">
        <v>240</v>
      </c>
      <c r="B241" s="14" t="inlineStr">
        <is>
          <t>COW008</t>
        </is>
      </c>
      <c r="C241" s="14" t="inlineStr">
        <is>
          <t>RFID100008</t>
        </is>
      </c>
      <c r="D241" s="14" t="inlineStr">
        <is>
          <t>2024-01-30</t>
        </is>
      </c>
      <c r="E241" s="14" t="inlineStr">
        <is>
          <t>08:00</t>
        </is>
      </c>
      <c r="F241" s="14" t="n">
        <v>7.07</v>
      </c>
      <c r="G241" s="14" t="n">
        <v>7.24</v>
      </c>
      <c r="H241" s="14" t="n">
        <v>6.1</v>
      </c>
      <c r="I241" s="15">
        <f>F241+G241+H241</f>
        <v/>
      </c>
      <c r="J241" s="15">
        <f>ROUND((I241-20.5)/20.5*100,2)</f>
        <v/>
      </c>
      <c r="K241" s="15" t="inlineStr">
        <is>
          <t>Normal</t>
        </is>
      </c>
    </row>
    <row r="242" ht="15" customHeight="1" s="11">
      <c r="A242" s="13" t="n">
        <v>241</v>
      </c>
      <c r="B242" s="13" t="inlineStr">
        <is>
          <t>COW009</t>
        </is>
      </c>
      <c r="C242" s="13" t="inlineStr">
        <is>
          <t>RFID100009</t>
        </is>
      </c>
      <c r="D242" s="13" t="inlineStr">
        <is>
          <t>2024-01-01</t>
        </is>
      </c>
      <c r="E242" s="13" t="inlineStr">
        <is>
          <t>08:00</t>
        </is>
      </c>
      <c r="F242" s="13" t="n">
        <v>6.81</v>
      </c>
      <c r="G242" s="13" t="n">
        <v>6.56</v>
      </c>
      <c r="H242" s="13" t="n">
        <v>5.66</v>
      </c>
      <c r="I242" s="15">
        <f>F242+G242+H242</f>
        <v/>
      </c>
      <c r="J242" s="15">
        <f>ROUND((I242-18.6)/18.6*100,2)</f>
        <v/>
      </c>
      <c r="K242" s="15" t="inlineStr">
        <is>
          <t>Normal</t>
        </is>
      </c>
    </row>
    <row r="243" ht="15" customHeight="1" s="11">
      <c r="A243" s="14" t="n">
        <v>242</v>
      </c>
      <c r="B243" s="14" t="inlineStr">
        <is>
          <t>COW009</t>
        </is>
      </c>
      <c r="C243" s="14" t="inlineStr">
        <is>
          <t>RFID100009</t>
        </is>
      </c>
      <c r="D243" s="14" t="inlineStr">
        <is>
          <t>2024-01-02</t>
        </is>
      </c>
      <c r="E243" s="14" t="inlineStr">
        <is>
          <t>08:00</t>
        </is>
      </c>
      <c r="F243" s="14" t="n">
        <v>6.19</v>
      </c>
      <c r="G243" s="14" t="n">
        <v>5.42</v>
      </c>
      <c r="H243" s="14" t="n">
        <v>6.62</v>
      </c>
      <c r="I243" s="15">
        <f>F243+G243+H243</f>
        <v/>
      </c>
      <c r="J243" s="15">
        <f>ROUND((I243-18.6)/18.6*100,2)</f>
        <v/>
      </c>
      <c r="K243" s="15" t="inlineStr">
        <is>
          <t>Normal</t>
        </is>
      </c>
    </row>
    <row r="244" ht="15" customHeight="1" s="11">
      <c r="A244" s="13" t="n">
        <v>243</v>
      </c>
      <c r="B244" s="13" t="inlineStr">
        <is>
          <t>COW009</t>
        </is>
      </c>
      <c r="C244" s="13" t="inlineStr">
        <is>
          <t>RFID100009</t>
        </is>
      </c>
      <c r="D244" s="13" t="inlineStr">
        <is>
          <t>2024-01-03</t>
        </is>
      </c>
      <c r="E244" s="13" t="inlineStr">
        <is>
          <t>08:00</t>
        </is>
      </c>
      <c r="F244" s="13" t="n">
        <v>6.03</v>
      </c>
      <c r="G244" s="13" t="n">
        <v>5.94</v>
      </c>
      <c r="H244" s="13" t="n">
        <v>5.35</v>
      </c>
      <c r="I244" s="15">
        <f>F244+G244+H244</f>
        <v/>
      </c>
      <c r="J244" s="15">
        <f>ROUND((I244-18.6)/18.6*100,2)</f>
        <v/>
      </c>
      <c r="K244" s="15" t="inlineStr">
        <is>
          <t>Normal</t>
        </is>
      </c>
    </row>
    <row r="245" ht="15" customHeight="1" s="11">
      <c r="A245" s="14" t="n">
        <v>244</v>
      </c>
      <c r="B245" s="14" t="inlineStr">
        <is>
          <t>COW009</t>
        </is>
      </c>
      <c r="C245" s="14" t="inlineStr">
        <is>
          <t>RFID100009</t>
        </is>
      </c>
      <c r="D245" s="14" t="inlineStr">
        <is>
          <t>2024-01-04</t>
        </is>
      </c>
      <c r="E245" s="14" t="inlineStr">
        <is>
          <t>08:00</t>
        </is>
      </c>
      <c r="F245" s="14" t="n">
        <v>6.9</v>
      </c>
      <c r="G245" s="14" t="n">
        <v>5.41</v>
      </c>
      <c r="H245" s="14" t="n">
        <v>5.88</v>
      </c>
      <c r="I245" s="15">
        <f>F245+G245+H245</f>
        <v/>
      </c>
      <c r="J245" s="15">
        <f>ROUND((I245-18.6)/18.6*100,2)</f>
        <v/>
      </c>
      <c r="K245" s="15" t="inlineStr">
        <is>
          <t>Normal</t>
        </is>
      </c>
    </row>
    <row r="246" ht="15" customHeight="1" s="11">
      <c r="A246" s="13" t="n">
        <v>245</v>
      </c>
      <c r="B246" s="13" t="inlineStr">
        <is>
          <t>COW009</t>
        </is>
      </c>
      <c r="C246" s="13" t="inlineStr">
        <is>
          <t>RFID100009</t>
        </is>
      </c>
      <c r="D246" s="13" t="inlineStr">
        <is>
          <t>2024-01-05</t>
        </is>
      </c>
      <c r="E246" s="13" t="inlineStr">
        <is>
          <t>08:00</t>
        </is>
      </c>
      <c r="F246" s="13" t="n">
        <v>6.58</v>
      </c>
      <c r="G246" s="13" t="n">
        <v>6.31</v>
      </c>
      <c r="H246" s="13" t="n">
        <v>6.62</v>
      </c>
      <c r="I246" s="15">
        <f>F246+G246+H246</f>
        <v/>
      </c>
      <c r="J246" s="15">
        <f>ROUND((I246-18.6)/18.6*100,2)</f>
        <v/>
      </c>
      <c r="K246" s="15" t="inlineStr">
        <is>
          <t>Normal</t>
        </is>
      </c>
    </row>
    <row r="247" ht="15" customHeight="1" s="11">
      <c r="A247" s="14" t="n">
        <v>246</v>
      </c>
      <c r="B247" s="14" t="inlineStr">
        <is>
          <t>COW009</t>
        </is>
      </c>
      <c r="C247" s="14" t="inlineStr">
        <is>
          <t>RFID100009</t>
        </is>
      </c>
      <c r="D247" s="14" t="inlineStr">
        <is>
          <t>2024-01-06</t>
        </is>
      </c>
      <c r="E247" s="14" t="inlineStr">
        <is>
          <t>08:00</t>
        </is>
      </c>
      <c r="F247" s="14" t="n">
        <v>6.2</v>
      </c>
      <c r="G247" s="14" t="n">
        <v>6.31</v>
      </c>
      <c r="H247" s="14" t="n">
        <v>5.44</v>
      </c>
      <c r="I247" s="15">
        <f>F247+G247+H247</f>
        <v/>
      </c>
      <c r="J247" s="15">
        <f>ROUND((I247-18.6)/18.6*100,2)</f>
        <v/>
      </c>
      <c r="K247" s="15" t="inlineStr">
        <is>
          <t>Normal</t>
        </is>
      </c>
    </row>
    <row r="248" ht="15" customHeight="1" s="11">
      <c r="A248" s="13" t="n">
        <v>247</v>
      </c>
      <c r="B248" s="13" t="inlineStr">
        <is>
          <t>COW009</t>
        </is>
      </c>
      <c r="C248" s="13" t="inlineStr">
        <is>
          <t>RFID100009</t>
        </is>
      </c>
      <c r="D248" s="13" t="inlineStr">
        <is>
          <t>2024-01-07</t>
        </is>
      </c>
      <c r="E248" s="13" t="inlineStr">
        <is>
          <t>08:00</t>
        </is>
      </c>
      <c r="F248" s="13" t="n">
        <v>6.2</v>
      </c>
      <c r="G248" s="13" t="n">
        <v>5.36</v>
      </c>
      <c r="H248" s="13" t="n">
        <v>5.94</v>
      </c>
      <c r="I248" s="15">
        <f>F248+G248+H248</f>
        <v/>
      </c>
      <c r="J248" s="15">
        <f>ROUND((I248-18.6)/18.6*100,2)</f>
        <v/>
      </c>
      <c r="K248" s="15" t="inlineStr">
        <is>
          <t>Normal</t>
        </is>
      </c>
    </row>
    <row r="249" ht="15" customHeight="1" s="11">
      <c r="A249" s="14" t="n">
        <v>248</v>
      </c>
      <c r="B249" s="14" t="inlineStr">
        <is>
          <t>COW009</t>
        </is>
      </c>
      <c r="C249" s="14" t="inlineStr">
        <is>
          <t>RFID100009</t>
        </is>
      </c>
      <c r="D249" s="14" t="inlineStr">
        <is>
          <t>2024-01-08</t>
        </is>
      </c>
      <c r="E249" s="14" t="inlineStr">
        <is>
          <t>08:00</t>
        </is>
      </c>
      <c r="F249" s="14" t="n">
        <v>6.19</v>
      </c>
      <c r="G249" s="14" t="n">
        <v>6.62</v>
      </c>
      <c r="H249" s="14" t="n">
        <v>5.26</v>
      </c>
      <c r="I249" s="15">
        <f>F249+G249+H249</f>
        <v/>
      </c>
      <c r="J249" s="15">
        <f>ROUND((I249-18.6)/18.6*100,2)</f>
        <v/>
      </c>
      <c r="K249" s="15" t="inlineStr">
        <is>
          <t>Normal</t>
        </is>
      </c>
    </row>
    <row r="250" ht="15" customHeight="1" s="11">
      <c r="A250" s="13" t="n">
        <v>249</v>
      </c>
      <c r="B250" s="13" t="inlineStr">
        <is>
          <t>COW009</t>
        </is>
      </c>
      <c r="C250" s="13" t="inlineStr">
        <is>
          <t>RFID100009</t>
        </is>
      </c>
      <c r="D250" s="13" t="inlineStr">
        <is>
          <t>2024-01-09</t>
        </is>
      </c>
      <c r="E250" s="13" t="inlineStr">
        <is>
          <t>08:00</t>
        </is>
      </c>
      <c r="F250" s="13" t="n">
        <v>6.13</v>
      </c>
      <c r="G250" s="13" t="n">
        <v>5.87</v>
      </c>
      <c r="H250" s="13" t="n">
        <v>6.62</v>
      </c>
      <c r="I250" s="15">
        <f>F250+G250+H250</f>
        <v/>
      </c>
      <c r="J250" s="15">
        <f>ROUND((I250-18.6)/18.6*100,2)</f>
        <v/>
      </c>
      <c r="K250" s="15" t="inlineStr">
        <is>
          <t>Normal</t>
        </is>
      </c>
    </row>
    <row r="251" ht="15" customHeight="1" s="11">
      <c r="A251" s="14" t="n">
        <v>250</v>
      </c>
      <c r="B251" s="14" t="inlineStr">
        <is>
          <t>COW009</t>
        </is>
      </c>
      <c r="C251" s="14" t="inlineStr">
        <is>
          <t>RFID100009</t>
        </is>
      </c>
      <c r="D251" s="14" t="inlineStr">
        <is>
          <t>2024-01-10</t>
        </is>
      </c>
      <c r="E251" s="14" t="inlineStr">
        <is>
          <t>08:00</t>
        </is>
      </c>
      <c r="F251" s="14" t="n">
        <v>6.85</v>
      </c>
      <c r="G251" s="14" t="n">
        <v>5.36</v>
      </c>
      <c r="H251" s="14" t="n">
        <v>6.23</v>
      </c>
      <c r="I251" s="15">
        <f>F251+G251+H251</f>
        <v/>
      </c>
      <c r="J251" s="15">
        <f>ROUND((I251-18.6)/18.6*100,2)</f>
        <v/>
      </c>
      <c r="K251" s="15" t="inlineStr">
        <is>
          <t>Normal</t>
        </is>
      </c>
    </row>
    <row r="252" ht="15" customHeight="1" s="11">
      <c r="A252" s="13" t="n">
        <v>251</v>
      </c>
      <c r="B252" s="13" t="inlineStr">
        <is>
          <t>COW009</t>
        </is>
      </c>
      <c r="C252" s="13" t="inlineStr">
        <is>
          <t>RFID100009</t>
        </is>
      </c>
      <c r="D252" s="13" t="inlineStr">
        <is>
          <t>2024-01-11</t>
        </is>
      </c>
      <c r="E252" s="13" t="inlineStr">
        <is>
          <t>08:00</t>
        </is>
      </c>
      <c r="F252" s="13" t="n">
        <v>6.39</v>
      </c>
      <c r="G252" s="13" t="n">
        <v>6.66</v>
      </c>
      <c r="H252" s="13" t="n">
        <v>5.74</v>
      </c>
      <c r="I252" s="15">
        <f>F252+G252+H252</f>
        <v/>
      </c>
      <c r="J252" s="15">
        <f>ROUND((I252-18.6)/18.6*100,2)</f>
        <v/>
      </c>
      <c r="K252" s="15" t="inlineStr">
        <is>
          <t>Normal</t>
        </is>
      </c>
    </row>
    <row r="253" ht="15" customHeight="1" s="11">
      <c r="A253" s="14" t="n">
        <v>252</v>
      </c>
      <c r="B253" s="14" t="inlineStr">
        <is>
          <t>COW009</t>
        </is>
      </c>
      <c r="C253" s="14" t="inlineStr">
        <is>
          <t>RFID100009</t>
        </is>
      </c>
      <c r="D253" s="14" t="inlineStr">
        <is>
          <t>2024-01-12</t>
        </is>
      </c>
      <c r="E253" s="14" t="inlineStr">
        <is>
          <t>08:00</t>
        </is>
      </c>
      <c r="F253" s="14" t="n">
        <v>6.17</v>
      </c>
      <c r="G253" s="14" t="n">
        <v>5.49</v>
      </c>
      <c r="H253" s="14" t="n">
        <v>5.39</v>
      </c>
      <c r="I253" s="15">
        <f>F253+G253+H253</f>
        <v/>
      </c>
      <c r="J253" s="15">
        <f>ROUND((I253-18.6)/18.6*100,2)</f>
        <v/>
      </c>
      <c r="K253" s="15" t="inlineStr">
        <is>
          <t>Normal</t>
        </is>
      </c>
    </row>
    <row r="254" ht="15" customHeight="1" s="11">
      <c r="A254" s="13" t="n">
        <v>253</v>
      </c>
      <c r="B254" s="13" t="inlineStr">
        <is>
          <t>COW009</t>
        </is>
      </c>
      <c r="C254" s="13" t="inlineStr">
        <is>
          <t>RFID100009</t>
        </is>
      </c>
      <c r="D254" s="13" t="inlineStr">
        <is>
          <t>2024-01-13</t>
        </is>
      </c>
      <c r="E254" s="13" t="inlineStr">
        <is>
          <t>08:00</t>
        </is>
      </c>
      <c r="F254" s="13" t="n">
        <v>6.84</v>
      </c>
      <c r="G254" s="13" t="n">
        <v>5.88</v>
      </c>
      <c r="H254" s="13" t="n">
        <v>6.19</v>
      </c>
      <c r="I254" s="15">
        <f>F254+G254+H254</f>
        <v/>
      </c>
      <c r="J254" s="15">
        <f>ROUND((I254-18.6)/18.6*100,2)</f>
        <v/>
      </c>
      <c r="K254" s="15" t="inlineStr">
        <is>
          <t>Normal</t>
        </is>
      </c>
    </row>
    <row r="255" ht="15" customHeight="1" s="11">
      <c r="A255" s="14" t="n">
        <v>254</v>
      </c>
      <c r="B255" s="14" t="inlineStr">
        <is>
          <t>COW009</t>
        </is>
      </c>
      <c r="C255" s="14" t="inlineStr">
        <is>
          <t>RFID100009</t>
        </is>
      </c>
      <c r="D255" s="14" t="inlineStr">
        <is>
          <t>2024-01-14</t>
        </is>
      </c>
      <c r="E255" s="14" t="inlineStr">
        <is>
          <t>08:00</t>
        </is>
      </c>
      <c r="F255" s="14" t="n">
        <v>6.53</v>
      </c>
      <c r="G255" s="14" t="n">
        <v>6.1</v>
      </c>
      <c r="H255" s="14" t="n">
        <v>5.24</v>
      </c>
      <c r="I255" s="15">
        <f>F255+G255+H255</f>
        <v/>
      </c>
      <c r="J255" s="15">
        <f>ROUND((I255-18.6)/18.6*100,2)</f>
        <v/>
      </c>
      <c r="K255" s="15" t="inlineStr">
        <is>
          <t>Normal</t>
        </is>
      </c>
    </row>
    <row r="256" ht="15" customHeight="1" s="11">
      <c r="A256" s="13" t="n">
        <v>255</v>
      </c>
      <c r="B256" s="13" t="inlineStr">
        <is>
          <t>COW009</t>
        </is>
      </c>
      <c r="C256" s="13" t="inlineStr">
        <is>
          <t>RFID100009</t>
        </is>
      </c>
      <c r="D256" s="13" t="inlineStr">
        <is>
          <t>2024-01-15</t>
        </is>
      </c>
      <c r="E256" s="13" t="inlineStr">
        <is>
          <t>08:00</t>
        </is>
      </c>
      <c r="F256" s="13" t="n">
        <v>6.75</v>
      </c>
      <c r="G256" s="13" t="n">
        <v>5.57</v>
      </c>
      <c r="H256" s="13" t="n">
        <v>5.4</v>
      </c>
      <c r="I256" s="15">
        <f>F256+G256+H256</f>
        <v/>
      </c>
      <c r="J256" s="15">
        <f>ROUND((I256-18.6)/18.6*100,2)</f>
        <v/>
      </c>
      <c r="K256" s="15" t="inlineStr">
        <is>
          <t>Normal</t>
        </is>
      </c>
    </row>
    <row r="257" ht="15" customHeight="1" s="11">
      <c r="A257" s="14" t="n">
        <v>256</v>
      </c>
      <c r="B257" s="14" t="inlineStr">
        <is>
          <t>COW009</t>
        </is>
      </c>
      <c r="C257" s="14" t="inlineStr">
        <is>
          <t>RFID100009</t>
        </is>
      </c>
      <c r="D257" s="14" t="inlineStr">
        <is>
          <t>2024-01-16</t>
        </is>
      </c>
      <c r="E257" s="14" t="inlineStr">
        <is>
          <t>08:00</t>
        </is>
      </c>
      <c r="F257" s="14" t="n">
        <v>6.42</v>
      </c>
      <c r="G257" s="14" t="n">
        <v>5.31</v>
      </c>
      <c r="H257" s="14" t="n">
        <v>6.35</v>
      </c>
      <c r="I257" s="15">
        <f>F257+G257+H257</f>
        <v/>
      </c>
      <c r="J257" s="15">
        <f>ROUND((I257-18.6)/18.6*100,2)</f>
        <v/>
      </c>
      <c r="K257" s="15" t="inlineStr">
        <is>
          <t>Normal</t>
        </is>
      </c>
    </row>
    <row r="258" ht="15" customHeight="1" s="11">
      <c r="A258" s="13" t="n">
        <v>257</v>
      </c>
      <c r="B258" s="13" t="inlineStr">
        <is>
          <t>COW009</t>
        </is>
      </c>
      <c r="C258" s="13" t="inlineStr">
        <is>
          <t>RFID100009</t>
        </is>
      </c>
      <c r="D258" s="13" t="inlineStr">
        <is>
          <t>2024-01-17</t>
        </is>
      </c>
      <c r="E258" s="13" t="inlineStr">
        <is>
          <t>08:00</t>
        </is>
      </c>
      <c r="F258" s="13" t="n">
        <v>5.89</v>
      </c>
      <c r="G258" s="13" t="n">
        <v>5.53</v>
      </c>
      <c r="H258" s="13" t="n">
        <v>6.5</v>
      </c>
      <c r="I258" s="15">
        <f>F258+G258+H258</f>
        <v/>
      </c>
      <c r="J258" s="15">
        <f>ROUND((I258-18.6)/18.6*100,2)</f>
        <v/>
      </c>
      <c r="K258" s="15" t="inlineStr">
        <is>
          <t>Normal</t>
        </is>
      </c>
    </row>
    <row r="259" ht="15" customHeight="1" s="11">
      <c r="A259" s="14" t="n">
        <v>258</v>
      </c>
      <c r="B259" s="14" t="inlineStr">
        <is>
          <t>COW009</t>
        </is>
      </c>
      <c r="C259" s="14" t="inlineStr">
        <is>
          <t>RFID100009</t>
        </is>
      </c>
      <c r="D259" s="14" t="inlineStr">
        <is>
          <t>2024-01-18</t>
        </is>
      </c>
      <c r="E259" s="14" t="inlineStr">
        <is>
          <t>08:00</t>
        </is>
      </c>
      <c r="F259" s="14" t="n">
        <v>6.07</v>
      </c>
      <c r="G259" s="14" t="n">
        <v>5.43</v>
      </c>
      <c r="H259" s="14" t="n">
        <v>6.55</v>
      </c>
      <c r="I259" s="15">
        <f>F259+G259+H259</f>
        <v/>
      </c>
      <c r="J259" s="15">
        <f>ROUND((I259-18.6)/18.6*100,2)</f>
        <v/>
      </c>
      <c r="K259" s="15" t="inlineStr">
        <is>
          <t>Normal</t>
        </is>
      </c>
    </row>
    <row r="260" ht="15" customHeight="1" s="11">
      <c r="A260" s="13" t="n">
        <v>259</v>
      </c>
      <c r="B260" s="13" t="inlineStr">
        <is>
          <t>COW009</t>
        </is>
      </c>
      <c r="C260" s="13" t="inlineStr">
        <is>
          <t>RFID100009</t>
        </is>
      </c>
      <c r="D260" s="13" t="inlineStr">
        <is>
          <t>2024-01-19</t>
        </is>
      </c>
      <c r="E260" s="13" t="inlineStr">
        <is>
          <t>08:00</t>
        </is>
      </c>
      <c r="F260" s="13" t="n">
        <v>5.58</v>
      </c>
      <c r="G260" s="13" t="n">
        <v>6.49</v>
      </c>
      <c r="H260" s="13" t="n">
        <v>5.42</v>
      </c>
      <c r="I260" s="15">
        <f>F260+G260+H260</f>
        <v/>
      </c>
      <c r="J260" s="15">
        <f>ROUND((I260-18.6)/18.6*100,2)</f>
        <v/>
      </c>
      <c r="K260" s="15" t="inlineStr">
        <is>
          <t>Normal</t>
        </is>
      </c>
    </row>
    <row r="261" ht="15" customHeight="1" s="11">
      <c r="A261" s="14" t="n">
        <v>260</v>
      </c>
      <c r="B261" s="14" t="inlineStr">
        <is>
          <t>COW009</t>
        </is>
      </c>
      <c r="C261" s="14" t="inlineStr">
        <is>
          <t>RFID100009</t>
        </is>
      </c>
      <c r="D261" s="14" t="inlineStr">
        <is>
          <t>2024-01-20</t>
        </is>
      </c>
      <c r="E261" s="14" t="inlineStr">
        <is>
          <t>08:00</t>
        </is>
      </c>
      <c r="F261" s="14" t="n">
        <v>5.77</v>
      </c>
      <c r="G261" s="14" t="n">
        <v>5.58</v>
      </c>
      <c r="H261" s="14" t="n">
        <v>5.47</v>
      </c>
      <c r="I261" s="15">
        <f>F261+G261+H261</f>
        <v/>
      </c>
      <c r="J261" s="15">
        <f>ROUND((I261-18.6)/18.6*100,2)</f>
        <v/>
      </c>
      <c r="K261" s="15" t="inlineStr">
        <is>
          <t>Normal</t>
        </is>
      </c>
    </row>
    <row r="262" ht="15" customHeight="1" s="11">
      <c r="A262" s="13" t="n">
        <v>261</v>
      </c>
      <c r="B262" s="13" t="inlineStr">
        <is>
          <t>COW009</t>
        </is>
      </c>
      <c r="C262" s="13" t="inlineStr">
        <is>
          <t>RFID100009</t>
        </is>
      </c>
      <c r="D262" s="13" t="inlineStr">
        <is>
          <t>2024-01-21</t>
        </is>
      </c>
      <c r="E262" s="13" t="inlineStr">
        <is>
          <t>08:00</t>
        </is>
      </c>
      <c r="F262" s="13" t="n">
        <v>6.56</v>
      </c>
      <c r="G262" s="13" t="n">
        <v>5.25</v>
      </c>
      <c r="H262" s="13" t="n">
        <v>5.23</v>
      </c>
      <c r="I262" s="15">
        <f>F262+G262+H262</f>
        <v/>
      </c>
      <c r="J262" s="15">
        <f>ROUND((I262-18.6)/18.6*100,2)</f>
        <v/>
      </c>
      <c r="K262" s="15" t="inlineStr">
        <is>
          <t>Normal</t>
        </is>
      </c>
    </row>
    <row r="263" ht="15" customHeight="1" s="11">
      <c r="A263" s="14" t="n">
        <v>262</v>
      </c>
      <c r="B263" s="14" t="inlineStr">
        <is>
          <t>COW009</t>
        </is>
      </c>
      <c r="C263" s="14" t="inlineStr">
        <is>
          <t>RFID100009</t>
        </is>
      </c>
      <c r="D263" s="14" t="inlineStr">
        <is>
          <t>2024-01-22</t>
        </is>
      </c>
      <c r="E263" s="14" t="inlineStr">
        <is>
          <t>08:00</t>
        </is>
      </c>
      <c r="F263" s="14" t="n">
        <v>6.76</v>
      </c>
      <c r="G263" s="14" t="n">
        <v>5.56</v>
      </c>
      <c r="H263" s="14" t="n">
        <v>5.69</v>
      </c>
      <c r="I263" s="15">
        <f>F263+G263+H263</f>
        <v/>
      </c>
      <c r="J263" s="15">
        <f>ROUND((I263-18.6)/18.6*100,2)</f>
        <v/>
      </c>
      <c r="K263" s="15" t="inlineStr">
        <is>
          <t>Normal</t>
        </is>
      </c>
    </row>
    <row r="264" ht="15" customHeight="1" s="11">
      <c r="A264" s="13" t="n">
        <v>263</v>
      </c>
      <c r="B264" s="13" t="inlineStr">
        <is>
          <t>COW009</t>
        </is>
      </c>
      <c r="C264" s="13" t="inlineStr">
        <is>
          <t>RFID100009</t>
        </is>
      </c>
      <c r="D264" s="13" t="inlineStr">
        <is>
          <t>2024-01-23</t>
        </is>
      </c>
      <c r="E264" s="13" t="inlineStr">
        <is>
          <t>08:00</t>
        </is>
      </c>
      <c r="F264" s="13" t="n">
        <v>5.84</v>
      </c>
      <c r="G264" s="13" t="n">
        <v>5.29</v>
      </c>
      <c r="H264" s="13" t="n">
        <v>6.31</v>
      </c>
      <c r="I264" s="15">
        <f>F264+G264+H264</f>
        <v/>
      </c>
      <c r="J264" s="15">
        <f>ROUND((I264-18.6)/18.6*100,2)</f>
        <v/>
      </c>
      <c r="K264" s="15" t="inlineStr">
        <is>
          <t>Normal</t>
        </is>
      </c>
    </row>
    <row r="265" ht="15" customHeight="1" s="11">
      <c r="A265" s="14" t="n">
        <v>264</v>
      </c>
      <c r="B265" s="14" t="inlineStr">
        <is>
          <t>COW009</t>
        </is>
      </c>
      <c r="C265" s="14" t="inlineStr">
        <is>
          <t>RFID100009</t>
        </is>
      </c>
      <c r="D265" s="14" t="inlineStr">
        <is>
          <t>2024-01-24</t>
        </is>
      </c>
      <c r="E265" s="14" t="inlineStr">
        <is>
          <t>08:00</t>
        </is>
      </c>
      <c r="F265" s="14" t="n">
        <v>6.36</v>
      </c>
      <c r="G265" s="14" t="n">
        <v>6.32</v>
      </c>
      <c r="H265" s="14" t="n">
        <v>5.92</v>
      </c>
      <c r="I265" s="15">
        <f>F265+G265+H265</f>
        <v/>
      </c>
      <c r="J265" s="15">
        <f>ROUND((I265-18.6)/18.6*100,2)</f>
        <v/>
      </c>
      <c r="K265" s="15" t="inlineStr">
        <is>
          <t>Normal</t>
        </is>
      </c>
    </row>
    <row r="266" ht="15" customHeight="1" s="11">
      <c r="A266" s="13" t="n">
        <v>265</v>
      </c>
      <c r="B266" s="13" t="inlineStr">
        <is>
          <t>COW009</t>
        </is>
      </c>
      <c r="C266" s="13" t="inlineStr">
        <is>
          <t>RFID100009</t>
        </is>
      </c>
      <c r="D266" s="13" t="inlineStr">
        <is>
          <t>2024-01-25</t>
        </is>
      </c>
      <c r="E266" s="13" t="inlineStr">
        <is>
          <t>08:00</t>
        </is>
      </c>
      <c r="F266" s="13" t="n">
        <v>6.74</v>
      </c>
      <c r="G266" s="13" t="n">
        <v>5.97</v>
      </c>
      <c r="H266" s="13" t="n">
        <v>5.37</v>
      </c>
      <c r="I266" s="15">
        <f>F266+G266+H266</f>
        <v/>
      </c>
      <c r="J266" s="15">
        <f>ROUND((I266-18.6)/18.6*100,2)</f>
        <v/>
      </c>
      <c r="K266" s="15" t="inlineStr">
        <is>
          <t>Normal</t>
        </is>
      </c>
    </row>
    <row r="267" ht="15" customHeight="1" s="11">
      <c r="A267" s="14" t="n">
        <v>266</v>
      </c>
      <c r="B267" s="14" t="inlineStr">
        <is>
          <t>COW009</t>
        </is>
      </c>
      <c r="C267" s="14" t="inlineStr">
        <is>
          <t>RFID100009</t>
        </is>
      </c>
      <c r="D267" s="14" t="inlineStr">
        <is>
          <t>2024-01-26</t>
        </is>
      </c>
      <c r="E267" s="14" t="inlineStr">
        <is>
          <t>08:00</t>
        </is>
      </c>
      <c r="F267" s="14" t="n">
        <v>6.33</v>
      </c>
      <c r="G267" s="14" t="n">
        <v>6.61</v>
      </c>
      <c r="H267" s="14" t="n">
        <v>5.27</v>
      </c>
      <c r="I267" s="15">
        <f>F267+G267+H267</f>
        <v/>
      </c>
      <c r="J267" s="15">
        <f>ROUND((I267-18.6)/18.6*100,2)</f>
        <v/>
      </c>
      <c r="K267" s="15" t="inlineStr">
        <is>
          <t>Normal</t>
        </is>
      </c>
    </row>
    <row r="268" ht="15" customHeight="1" s="11">
      <c r="A268" s="13" t="n">
        <v>267</v>
      </c>
      <c r="B268" s="13" t="inlineStr">
        <is>
          <t>COW009</t>
        </is>
      </c>
      <c r="C268" s="13" t="inlineStr">
        <is>
          <t>RFID100009</t>
        </is>
      </c>
      <c r="D268" s="13" t="inlineStr">
        <is>
          <t>2024-01-27</t>
        </is>
      </c>
      <c r="E268" s="13" t="inlineStr">
        <is>
          <t>08:00</t>
        </is>
      </c>
      <c r="F268" s="13" t="n">
        <v>6.75</v>
      </c>
      <c r="G268" s="13" t="n">
        <v>6.5</v>
      </c>
      <c r="H268" s="13" t="n">
        <v>5.98</v>
      </c>
      <c r="I268" s="15">
        <f>F268+G268+H268</f>
        <v/>
      </c>
      <c r="J268" s="15">
        <f>ROUND((I268-18.6)/18.6*100,2)</f>
        <v/>
      </c>
      <c r="K268" s="15" t="inlineStr">
        <is>
          <t>Normal</t>
        </is>
      </c>
    </row>
    <row r="269" ht="15" customHeight="1" s="11">
      <c r="A269" s="14" t="n">
        <v>268</v>
      </c>
      <c r="B269" s="14" t="inlineStr">
        <is>
          <t>COW009</t>
        </is>
      </c>
      <c r="C269" s="14" t="inlineStr">
        <is>
          <t>RFID100009</t>
        </is>
      </c>
      <c r="D269" s="14" t="inlineStr">
        <is>
          <t>2024-01-28</t>
        </is>
      </c>
      <c r="E269" s="14" t="inlineStr">
        <is>
          <t>08:00</t>
        </is>
      </c>
      <c r="F269" s="14" t="n">
        <v>6.26</v>
      </c>
      <c r="G269" s="14" t="n">
        <v>6.64</v>
      </c>
      <c r="H269" s="14" t="n">
        <v>5.3</v>
      </c>
      <c r="I269" s="15">
        <f>F269+G269+H269</f>
        <v/>
      </c>
      <c r="J269" s="15">
        <f>ROUND((I269-18.6)/18.6*100,2)</f>
        <v/>
      </c>
      <c r="K269" s="15" t="inlineStr">
        <is>
          <t>Normal</t>
        </is>
      </c>
    </row>
    <row r="270" ht="15" customHeight="1" s="11">
      <c r="A270" s="13" t="n">
        <v>269</v>
      </c>
      <c r="B270" s="13" t="inlineStr">
        <is>
          <t>COW009</t>
        </is>
      </c>
      <c r="C270" s="13" t="inlineStr">
        <is>
          <t>RFID100009</t>
        </is>
      </c>
      <c r="D270" s="13" t="inlineStr">
        <is>
          <t>2024-01-29</t>
        </is>
      </c>
      <c r="E270" s="13" t="inlineStr">
        <is>
          <t>08:00</t>
        </is>
      </c>
      <c r="F270" s="13" t="n">
        <v>6.29</v>
      </c>
      <c r="G270" s="13" t="n">
        <v>5.81</v>
      </c>
      <c r="H270" s="13" t="n">
        <v>6.23</v>
      </c>
      <c r="I270" s="15">
        <f>F270+G270+H270</f>
        <v/>
      </c>
      <c r="J270" s="15">
        <f>ROUND((I270-18.6)/18.6*100,2)</f>
        <v/>
      </c>
      <c r="K270" s="15" t="inlineStr">
        <is>
          <t>Normal</t>
        </is>
      </c>
    </row>
    <row r="271" ht="15" customHeight="1" s="11">
      <c r="A271" s="14" t="n">
        <v>270</v>
      </c>
      <c r="B271" s="14" t="inlineStr">
        <is>
          <t>COW009</t>
        </is>
      </c>
      <c r="C271" s="14" t="inlineStr">
        <is>
          <t>RFID100009</t>
        </is>
      </c>
      <c r="D271" s="14" t="inlineStr">
        <is>
          <t>2024-01-30</t>
        </is>
      </c>
      <c r="E271" s="14" t="inlineStr">
        <is>
          <t>08:00</t>
        </is>
      </c>
      <c r="F271" s="14" t="n">
        <v>6.31</v>
      </c>
      <c r="G271" s="14" t="n">
        <v>6.56</v>
      </c>
      <c r="H271" s="14" t="n">
        <v>5.32</v>
      </c>
      <c r="I271" s="15">
        <f>F271+G271+H271</f>
        <v/>
      </c>
      <c r="J271" s="15">
        <f>ROUND((I271-18.6)/18.6*100,2)</f>
        <v/>
      </c>
      <c r="K271" s="15" t="inlineStr">
        <is>
          <t>Normal</t>
        </is>
      </c>
    </row>
    <row r="272" ht="15" customHeight="1" s="11">
      <c r="A272" s="13" t="n">
        <v>271</v>
      </c>
      <c r="B272" s="13" t="inlineStr">
        <is>
          <t>COW010</t>
        </is>
      </c>
      <c r="C272" s="13" t="inlineStr">
        <is>
          <t>RFID100010</t>
        </is>
      </c>
      <c r="D272" s="13" t="inlineStr">
        <is>
          <t>2024-01-01</t>
        </is>
      </c>
      <c r="E272" s="13" t="inlineStr">
        <is>
          <t>08:00</t>
        </is>
      </c>
      <c r="F272" s="13" t="n">
        <v>6.55</v>
      </c>
      <c r="G272" s="13" t="n">
        <v>5.36</v>
      </c>
      <c r="H272" s="13" t="n">
        <v>5.68</v>
      </c>
      <c r="I272" s="15">
        <f>F272+G272+H272</f>
        <v/>
      </c>
      <c r="J272" s="15">
        <f>ROUND((I272-18.8)/18.8*100,2)</f>
        <v/>
      </c>
      <c r="K272" s="15" t="inlineStr">
        <is>
          <t>Normal</t>
        </is>
      </c>
    </row>
    <row r="273" ht="15" customHeight="1" s="11">
      <c r="A273" s="14" t="n">
        <v>272</v>
      </c>
      <c r="B273" s="14" t="inlineStr">
        <is>
          <t>COW010</t>
        </is>
      </c>
      <c r="C273" s="14" t="inlineStr">
        <is>
          <t>RFID100010</t>
        </is>
      </c>
      <c r="D273" s="14" t="inlineStr">
        <is>
          <t>2024-01-02</t>
        </is>
      </c>
      <c r="E273" s="14" t="inlineStr">
        <is>
          <t>08:00</t>
        </is>
      </c>
      <c r="F273" s="14" t="n">
        <v>6.59</v>
      </c>
      <c r="G273" s="14" t="n">
        <v>6.09</v>
      </c>
      <c r="H273" s="14" t="n">
        <v>5.75</v>
      </c>
      <c r="I273" s="15">
        <f>F273+G273+H273</f>
        <v/>
      </c>
      <c r="J273" s="15">
        <f>ROUND((I273-18.8)/18.8*100,2)</f>
        <v/>
      </c>
      <c r="K273" s="15" t="inlineStr">
        <is>
          <t>Normal</t>
        </is>
      </c>
    </row>
    <row r="274" ht="15" customHeight="1" s="11">
      <c r="A274" s="13" t="n">
        <v>273</v>
      </c>
      <c r="B274" s="13" t="inlineStr">
        <is>
          <t>COW010</t>
        </is>
      </c>
      <c r="C274" s="13" t="inlineStr">
        <is>
          <t>RFID100010</t>
        </is>
      </c>
      <c r="D274" s="13" t="inlineStr">
        <is>
          <t>2024-01-03</t>
        </is>
      </c>
      <c r="E274" s="13" t="inlineStr">
        <is>
          <t>08:00</t>
        </is>
      </c>
      <c r="F274" s="13" t="n">
        <v>7.14</v>
      </c>
      <c r="G274" s="13" t="n">
        <v>6.06</v>
      </c>
      <c r="H274" s="13" t="n">
        <v>5.95</v>
      </c>
      <c r="I274" s="15">
        <f>F274+G274+H274</f>
        <v/>
      </c>
      <c r="J274" s="15">
        <f>ROUND((I274-18.8)/18.8*100,2)</f>
        <v/>
      </c>
      <c r="K274" s="15" t="inlineStr">
        <is>
          <t>Normal</t>
        </is>
      </c>
    </row>
    <row r="275" ht="15" customHeight="1" s="11">
      <c r="A275" s="14" t="n">
        <v>274</v>
      </c>
      <c r="B275" s="14" t="inlineStr">
        <is>
          <t>COW010</t>
        </is>
      </c>
      <c r="C275" s="14" t="inlineStr">
        <is>
          <t>RFID100010</t>
        </is>
      </c>
      <c r="D275" s="14" t="inlineStr">
        <is>
          <t>2024-01-04</t>
        </is>
      </c>
      <c r="E275" s="14" t="inlineStr">
        <is>
          <t>08:00</t>
        </is>
      </c>
      <c r="F275" s="14" t="n">
        <v>6.55</v>
      </c>
      <c r="G275" s="14" t="n">
        <v>5.41</v>
      </c>
      <c r="H275" s="14" t="n">
        <v>6.32</v>
      </c>
      <c r="I275" s="15">
        <f>F275+G275+H275</f>
        <v/>
      </c>
      <c r="J275" s="15">
        <f>ROUND((I275-18.8)/18.8*100,2)</f>
        <v/>
      </c>
      <c r="K275" s="15" t="inlineStr">
        <is>
          <t>Normal</t>
        </is>
      </c>
    </row>
    <row r="276" ht="15" customHeight="1" s="11">
      <c r="A276" s="13" t="n">
        <v>275</v>
      </c>
      <c r="B276" s="13" t="inlineStr">
        <is>
          <t>COW010</t>
        </is>
      </c>
      <c r="C276" s="13" t="inlineStr">
        <is>
          <t>RFID100010</t>
        </is>
      </c>
      <c r="D276" s="13" t="inlineStr">
        <is>
          <t>2024-01-05</t>
        </is>
      </c>
      <c r="E276" s="13" t="inlineStr">
        <is>
          <t>08:00</t>
        </is>
      </c>
      <c r="F276" s="13" t="n">
        <v>6.92</v>
      </c>
      <c r="G276" s="13" t="n">
        <v>6.24</v>
      </c>
      <c r="H276" s="13" t="n">
        <v>6.42</v>
      </c>
      <c r="I276" s="15">
        <f>F276+G276+H276</f>
        <v/>
      </c>
      <c r="J276" s="15">
        <f>ROUND((I276-18.8)/18.8*100,2)</f>
        <v/>
      </c>
      <c r="K276" s="15" t="inlineStr">
        <is>
          <t>Normal</t>
        </is>
      </c>
    </row>
    <row r="277" ht="15" customHeight="1" s="11">
      <c r="A277" s="14" t="n">
        <v>276</v>
      </c>
      <c r="B277" s="14" t="inlineStr">
        <is>
          <t>COW010</t>
        </is>
      </c>
      <c r="C277" s="14" t="inlineStr">
        <is>
          <t>RFID100010</t>
        </is>
      </c>
      <c r="D277" s="14" t="inlineStr">
        <is>
          <t>2024-01-06</t>
        </is>
      </c>
      <c r="E277" s="14" t="inlineStr">
        <is>
          <t>08:00</t>
        </is>
      </c>
      <c r="F277" s="14" t="n">
        <v>6.72</v>
      </c>
      <c r="G277" s="14" t="n">
        <v>5.59</v>
      </c>
      <c r="H277" s="14" t="n">
        <v>5.94</v>
      </c>
      <c r="I277" s="15">
        <f>F277+G277+H277</f>
        <v/>
      </c>
      <c r="J277" s="15">
        <f>ROUND((I277-18.8)/18.8*100,2)</f>
        <v/>
      </c>
      <c r="K277" s="15" t="inlineStr">
        <is>
          <t>Normal</t>
        </is>
      </c>
    </row>
    <row r="278" ht="15" customHeight="1" s="11">
      <c r="A278" s="13" t="n">
        <v>277</v>
      </c>
      <c r="B278" s="13" t="inlineStr">
        <is>
          <t>COW010</t>
        </is>
      </c>
      <c r="C278" s="13" t="inlineStr">
        <is>
          <t>RFID100010</t>
        </is>
      </c>
      <c r="D278" s="13" t="inlineStr">
        <is>
          <t>2024-01-07</t>
        </is>
      </c>
      <c r="E278" s="13" t="inlineStr">
        <is>
          <t>08:00</t>
        </is>
      </c>
      <c r="F278" s="13" t="n">
        <v>5.98</v>
      </c>
      <c r="G278" s="13" t="n">
        <v>5.77</v>
      </c>
      <c r="H278" s="13" t="n">
        <v>5.95</v>
      </c>
      <c r="I278" s="15">
        <f>F278+G278+H278</f>
        <v/>
      </c>
      <c r="J278" s="15">
        <f>ROUND((I278-18.8)/18.8*100,2)</f>
        <v/>
      </c>
      <c r="K278" s="15" t="inlineStr">
        <is>
          <t>Normal</t>
        </is>
      </c>
    </row>
    <row r="279" ht="15" customHeight="1" s="11">
      <c r="A279" s="14" t="n">
        <v>278</v>
      </c>
      <c r="B279" s="14" t="inlineStr">
        <is>
          <t>COW010</t>
        </is>
      </c>
      <c r="C279" s="14" t="inlineStr">
        <is>
          <t>RFID100010</t>
        </is>
      </c>
      <c r="D279" s="14" t="inlineStr">
        <is>
          <t>2024-01-08</t>
        </is>
      </c>
      <c r="E279" s="14" t="inlineStr">
        <is>
          <t>08:00</t>
        </is>
      </c>
      <c r="F279" s="14" t="n">
        <v>6.27</v>
      </c>
      <c r="G279" s="14" t="n">
        <v>5.41</v>
      </c>
      <c r="H279" s="14" t="n">
        <v>5.91</v>
      </c>
      <c r="I279" s="15">
        <f>F279+G279+H279</f>
        <v/>
      </c>
      <c r="J279" s="15">
        <f>ROUND((I279-18.8)/18.8*100,2)</f>
        <v/>
      </c>
      <c r="K279" s="15" t="inlineStr">
        <is>
          <t>Normal</t>
        </is>
      </c>
    </row>
    <row r="280" ht="15" customHeight="1" s="11">
      <c r="A280" s="13" t="n">
        <v>279</v>
      </c>
      <c r="B280" s="13" t="inlineStr">
        <is>
          <t>COW010</t>
        </is>
      </c>
      <c r="C280" s="13" t="inlineStr">
        <is>
          <t>RFID100010</t>
        </is>
      </c>
      <c r="D280" s="13" t="inlineStr">
        <is>
          <t>2024-01-09</t>
        </is>
      </c>
      <c r="E280" s="13" t="inlineStr">
        <is>
          <t>08:00</t>
        </is>
      </c>
      <c r="F280" s="13" t="n">
        <v>6.64</v>
      </c>
      <c r="G280" s="13" t="n">
        <v>5.83</v>
      </c>
      <c r="H280" s="13" t="n">
        <v>5.49</v>
      </c>
      <c r="I280" s="15">
        <f>F280+G280+H280</f>
        <v/>
      </c>
      <c r="J280" s="15">
        <f>ROUND((I280-18.8)/18.8*100,2)</f>
        <v/>
      </c>
      <c r="K280" s="15" t="inlineStr">
        <is>
          <t>Normal</t>
        </is>
      </c>
    </row>
    <row r="281" ht="15" customHeight="1" s="11">
      <c r="A281" s="14" t="n">
        <v>280</v>
      </c>
      <c r="B281" s="14" t="inlineStr">
        <is>
          <t>COW010</t>
        </is>
      </c>
      <c r="C281" s="14" t="inlineStr">
        <is>
          <t>RFID100010</t>
        </is>
      </c>
      <c r="D281" s="14" t="inlineStr">
        <is>
          <t>2024-01-10</t>
        </is>
      </c>
      <c r="E281" s="14" t="inlineStr">
        <is>
          <t>08:00</t>
        </is>
      </c>
      <c r="F281" s="14" t="n">
        <v>7.03</v>
      </c>
      <c r="G281" s="14" t="n">
        <v>5.36</v>
      </c>
      <c r="H281" s="14" t="n">
        <v>6.51</v>
      </c>
      <c r="I281" s="15">
        <f>F281+G281+H281</f>
        <v/>
      </c>
      <c r="J281" s="15">
        <f>ROUND((I281-18.8)/18.8*100,2)</f>
        <v/>
      </c>
      <c r="K281" s="15" t="inlineStr">
        <is>
          <t>Normal</t>
        </is>
      </c>
    </row>
    <row r="282" ht="15" customHeight="1" s="11">
      <c r="A282" s="13" t="n">
        <v>281</v>
      </c>
      <c r="B282" s="13" t="inlineStr">
        <is>
          <t>COW010</t>
        </is>
      </c>
      <c r="C282" s="13" t="inlineStr">
        <is>
          <t>RFID100010</t>
        </is>
      </c>
      <c r="D282" s="13" t="inlineStr">
        <is>
          <t>2024-01-11</t>
        </is>
      </c>
      <c r="E282" s="13" t="inlineStr">
        <is>
          <t>08:00</t>
        </is>
      </c>
      <c r="F282" s="13" t="n">
        <v>5.78</v>
      </c>
      <c r="G282" s="13" t="n">
        <v>5.41</v>
      </c>
      <c r="H282" s="13" t="n">
        <v>6.38</v>
      </c>
      <c r="I282" s="15">
        <f>F282+G282+H282</f>
        <v/>
      </c>
      <c r="J282" s="15">
        <f>ROUND((I282-18.8)/18.8*100,2)</f>
        <v/>
      </c>
      <c r="K282" s="15" t="inlineStr">
        <is>
          <t>Normal</t>
        </is>
      </c>
    </row>
    <row r="283" ht="15" customHeight="1" s="11">
      <c r="A283" s="14" t="n">
        <v>282</v>
      </c>
      <c r="B283" s="14" t="inlineStr">
        <is>
          <t>COW010</t>
        </is>
      </c>
      <c r="C283" s="14" t="inlineStr">
        <is>
          <t>RFID100010</t>
        </is>
      </c>
      <c r="D283" s="14" t="inlineStr">
        <is>
          <t>2024-01-12</t>
        </is>
      </c>
      <c r="E283" s="14" t="inlineStr">
        <is>
          <t>08:00</t>
        </is>
      </c>
      <c r="F283" s="14" t="n">
        <v>6.86</v>
      </c>
      <c r="G283" s="14" t="n">
        <v>6.1</v>
      </c>
      <c r="H283" s="14" t="n">
        <v>6.15</v>
      </c>
      <c r="I283" s="15">
        <f>F283+G283+H283</f>
        <v/>
      </c>
      <c r="J283" s="15">
        <f>ROUND((I283-18.8)/18.8*100,2)</f>
        <v/>
      </c>
      <c r="K283" s="15" t="inlineStr">
        <is>
          <t>Normal</t>
        </is>
      </c>
    </row>
    <row r="284" ht="15" customHeight="1" s="11">
      <c r="A284" s="13" t="n">
        <v>283</v>
      </c>
      <c r="B284" s="13" t="inlineStr">
        <is>
          <t>COW010</t>
        </is>
      </c>
      <c r="C284" s="13" t="inlineStr">
        <is>
          <t>RFID100010</t>
        </is>
      </c>
      <c r="D284" s="13" t="inlineStr">
        <is>
          <t>2024-01-13</t>
        </is>
      </c>
      <c r="E284" s="13" t="inlineStr">
        <is>
          <t>08:00</t>
        </is>
      </c>
      <c r="F284" s="13" t="n">
        <v>6.48</v>
      </c>
      <c r="G284" s="13" t="n">
        <v>5.76</v>
      </c>
      <c r="H284" s="13" t="n">
        <v>5.45</v>
      </c>
      <c r="I284" s="15">
        <f>F284+G284+H284</f>
        <v/>
      </c>
      <c r="J284" s="15">
        <f>ROUND((I284-18.8)/18.8*100,2)</f>
        <v/>
      </c>
      <c r="K284" s="15" t="inlineStr">
        <is>
          <t>Normal</t>
        </is>
      </c>
    </row>
    <row r="285" ht="15" customHeight="1" s="11">
      <c r="A285" s="14" t="n">
        <v>284</v>
      </c>
      <c r="B285" s="14" t="inlineStr">
        <is>
          <t>COW010</t>
        </is>
      </c>
      <c r="C285" s="14" t="inlineStr">
        <is>
          <t>RFID100010</t>
        </is>
      </c>
      <c r="D285" s="14" t="inlineStr">
        <is>
          <t>2024-01-14</t>
        </is>
      </c>
      <c r="E285" s="14" t="inlineStr">
        <is>
          <t>08:00</t>
        </is>
      </c>
      <c r="F285" s="14" t="n">
        <v>6.17</v>
      </c>
      <c r="G285" s="14" t="n">
        <v>6.26</v>
      </c>
      <c r="H285" s="14" t="n">
        <v>6.39</v>
      </c>
      <c r="I285" s="15">
        <f>F285+G285+H285</f>
        <v/>
      </c>
      <c r="J285" s="15">
        <f>ROUND((I285-18.8)/18.8*100,2)</f>
        <v/>
      </c>
      <c r="K285" s="15" t="inlineStr">
        <is>
          <t>Normal</t>
        </is>
      </c>
    </row>
    <row r="286" ht="15" customHeight="1" s="11">
      <c r="A286" s="13" t="n">
        <v>285</v>
      </c>
      <c r="B286" s="13" t="inlineStr">
        <is>
          <t>COW010</t>
        </is>
      </c>
      <c r="C286" s="13" t="inlineStr">
        <is>
          <t>RFID100010</t>
        </is>
      </c>
      <c r="D286" s="13" t="inlineStr">
        <is>
          <t>2024-01-15</t>
        </is>
      </c>
      <c r="E286" s="13" t="inlineStr">
        <is>
          <t>08:00</t>
        </is>
      </c>
      <c r="F286" s="13" t="n">
        <v>6.95</v>
      </c>
      <c r="G286" s="13" t="n">
        <v>6.35</v>
      </c>
      <c r="H286" s="13" t="n">
        <v>6.72</v>
      </c>
      <c r="I286" s="15">
        <f>F286+G286+H286</f>
        <v/>
      </c>
      <c r="J286" s="15">
        <f>ROUND((I286-18.8)/18.8*100,2)</f>
        <v/>
      </c>
      <c r="K286" s="15" t="inlineStr">
        <is>
          <t>Normal</t>
        </is>
      </c>
    </row>
    <row r="287" ht="15" customHeight="1" s="11">
      <c r="A287" s="14" t="n">
        <v>286</v>
      </c>
      <c r="B287" s="14" t="inlineStr">
        <is>
          <t>COW010</t>
        </is>
      </c>
      <c r="C287" s="14" t="inlineStr">
        <is>
          <t>RFID100010</t>
        </is>
      </c>
      <c r="D287" s="14" t="inlineStr">
        <is>
          <t>2024-01-16</t>
        </is>
      </c>
      <c r="E287" s="14" t="inlineStr">
        <is>
          <t>08:00</t>
        </is>
      </c>
      <c r="F287" s="14" t="n">
        <v>6.54</v>
      </c>
      <c r="G287" s="14" t="n">
        <v>5.79</v>
      </c>
      <c r="H287" s="14" t="n">
        <v>6.13</v>
      </c>
      <c r="I287" s="15">
        <f>F287+G287+H287</f>
        <v/>
      </c>
      <c r="J287" s="15">
        <f>ROUND((I287-18.8)/18.8*100,2)</f>
        <v/>
      </c>
      <c r="K287" s="15" t="inlineStr">
        <is>
          <t>Normal</t>
        </is>
      </c>
    </row>
    <row r="288" ht="15" customHeight="1" s="11">
      <c r="A288" s="13" t="n">
        <v>287</v>
      </c>
      <c r="B288" s="13" t="inlineStr">
        <is>
          <t>COW010</t>
        </is>
      </c>
      <c r="C288" s="13" t="inlineStr">
        <is>
          <t>RFID100010</t>
        </is>
      </c>
      <c r="D288" s="13" t="inlineStr">
        <is>
          <t>2024-01-17</t>
        </is>
      </c>
      <c r="E288" s="13" t="inlineStr">
        <is>
          <t>08:00</t>
        </is>
      </c>
      <c r="F288" s="13" t="n">
        <v>5.96</v>
      </c>
      <c r="G288" s="13" t="n">
        <v>6.25</v>
      </c>
      <c r="H288" s="13" t="n">
        <v>5.6</v>
      </c>
      <c r="I288" s="15">
        <f>F288+G288+H288</f>
        <v/>
      </c>
      <c r="J288" s="15">
        <f>ROUND((I288-18.8)/18.8*100,2)</f>
        <v/>
      </c>
      <c r="K288" s="15" t="inlineStr">
        <is>
          <t>Normal</t>
        </is>
      </c>
    </row>
    <row r="289" ht="15" customHeight="1" s="11">
      <c r="A289" s="14" t="n">
        <v>288</v>
      </c>
      <c r="B289" s="14" t="inlineStr">
        <is>
          <t>COW010</t>
        </is>
      </c>
      <c r="C289" s="14" t="inlineStr">
        <is>
          <t>RFID100010</t>
        </is>
      </c>
      <c r="D289" s="14" t="inlineStr">
        <is>
          <t>2024-01-18</t>
        </is>
      </c>
      <c r="E289" s="14" t="inlineStr">
        <is>
          <t>08:00</t>
        </is>
      </c>
      <c r="F289" s="14" t="n">
        <v>5.8</v>
      </c>
      <c r="G289" s="14" t="n">
        <v>6.54</v>
      </c>
      <c r="H289" s="14" t="n">
        <v>5.82</v>
      </c>
      <c r="I289" s="15">
        <f>F289+G289+H289</f>
        <v/>
      </c>
      <c r="J289" s="15">
        <f>ROUND((I289-18.8)/18.8*100,2)</f>
        <v/>
      </c>
      <c r="K289" s="15" t="inlineStr">
        <is>
          <t>Normal</t>
        </is>
      </c>
    </row>
    <row r="290" ht="15" customHeight="1" s="11">
      <c r="A290" s="13" t="n">
        <v>289</v>
      </c>
      <c r="B290" s="13" t="inlineStr">
        <is>
          <t>COW010</t>
        </is>
      </c>
      <c r="C290" s="13" t="inlineStr">
        <is>
          <t>RFID100010</t>
        </is>
      </c>
      <c r="D290" s="13" t="inlineStr">
        <is>
          <t>2024-01-19</t>
        </is>
      </c>
      <c r="E290" s="13" t="inlineStr">
        <is>
          <t>08:00</t>
        </is>
      </c>
      <c r="F290" s="13" t="n">
        <v>6.79</v>
      </c>
      <c r="G290" s="13" t="n">
        <v>6.13</v>
      </c>
      <c r="H290" s="13" t="n">
        <v>6.48</v>
      </c>
      <c r="I290" s="15">
        <f>F290+G290+H290</f>
        <v/>
      </c>
      <c r="J290" s="15">
        <f>ROUND((I290-18.8)/18.8*100,2)</f>
        <v/>
      </c>
      <c r="K290" s="15" t="inlineStr">
        <is>
          <t>Normal</t>
        </is>
      </c>
    </row>
    <row r="291" ht="15" customHeight="1" s="11">
      <c r="A291" s="14" t="n">
        <v>290</v>
      </c>
      <c r="B291" s="14" t="inlineStr">
        <is>
          <t>COW010</t>
        </is>
      </c>
      <c r="C291" s="14" t="inlineStr">
        <is>
          <t>RFID100010</t>
        </is>
      </c>
      <c r="D291" s="14" t="inlineStr">
        <is>
          <t>2024-01-20</t>
        </is>
      </c>
      <c r="E291" s="14" t="inlineStr">
        <is>
          <t>08:00</t>
        </is>
      </c>
      <c r="F291" s="14" t="n">
        <v>6.91</v>
      </c>
      <c r="G291" s="14" t="n">
        <v>6.73</v>
      </c>
      <c r="H291" s="14" t="n">
        <v>6.49</v>
      </c>
      <c r="I291" s="15">
        <f>F291+G291+H291</f>
        <v/>
      </c>
      <c r="J291" s="15">
        <f>ROUND((I291-18.8)/18.8*100,2)</f>
        <v/>
      </c>
      <c r="K291" s="15" t="inlineStr">
        <is>
          <t>Normal</t>
        </is>
      </c>
    </row>
    <row r="292" ht="15" customHeight="1" s="11">
      <c r="A292" s="13" t="n">
        <v>291</v>
      </c>
      <c r="B292" s="13" t="inlineStr">
        <is>
          <t>COW010</t>
        </is>
      </c>
      <c r="C292" s="13" t="inlineStr">
        <is>
          <t>RFID100010</t>
        </is>
      </c>
      <c r="D292" s="13" t="inlineStr">
        <is>
          <t>2024-01-21</t>
        </is>
      </c>
      <c r="E292" s="13" t="inlineStr">
        <is>
          <t>08:00</t>
        </is>
      </c>
      <c r="F292" s="13" t="n">
        <v>6.56</v>
      </c>
      <c r="G292" s="13" t="n">
        <v>6.23</v>
      </c>
      <c r="H292" s="13" t="n">
        <v>5.3</v>
      </c>
      <c r="I292" s="15">
        <f>F292+G292+H292</f>
        <v/>
      </c>
      <c r="J292" s="15">
        <f>ROUND((I292-18.8)/18.8*100,2)</f>
        <v/>
      </c>
      <c r="K292" s="15" t="inlineStr">
        <is>
          <t>Normal</t>
        </is>
      </c>
    </row>
    <row r="293" ht="15" customHeight="1" s="11">
      <c r="A293" s="14" t="n">
        <v>292</v>
      </c>
      <c r="B293" s="14" t="inlineStr">
        <is>
          <t>COW010</t>
        </is>
      </c>
      <c r="C293" s="14" t="inlineStr">
        <is>
          <t>RFID100010</t>
        </is>
      </c>
      <c r="D293" s="14" t="inlineStr">
        <is>
          <t>2024-01-22</t>
        </is>
      </c>
      <c r="E293" s="14" t="inlineStr">
        <is>
          <t>08:00</t>
        </is>
      </c>
      <c r="F293" s="14" t="n">
        <v>7.04</v>
      </c>
      <c r="G293" s="14" t="n">
        <v>6.51</v>
      </c>
      <c r="H293" s="14" t="n">
        <v>5.67</v>
      </c>
      <c r="I293" s="15">
        <f>F293+G293+H293</f>
        <v/>
      </c>
      <c r="J293" s="15">
        <f>ROUND((I293-18.8)/18.8*100,2)</f>
        <v/>
      </c>
      <c r="K293" s="15" t="inlineStr">
        <is>
          <t>Normal</t>
        </is>
      </c>
    </row>
    <row r="294" ht="15" customHeight="1" s="11">
      <c r="A294" s="13" t="n">
        <v>293</v>
      </c>
      <c r="B294" s="13" t="inlineStr">
        <is>
          <t>COW010</t>
        </is>
      </c>
      <c r="C294" s="13" t="inlineStr">
        <is>
          <t>RFID100010</t>
        </is>
      </c>
      <c r="D294" s="13" t="inlineStr">
        <is>
          <t>2024-01-23</t>
        </is>
      </c>
      <c r="E294" s="13" t="inlineStr">
        <is>
          <t>08:00</t>
        </is>
      </c>
      <c r="F294" s="13" t="n">
        <v>5.91</v>
      </c>
      <c r="G294" s="13" t="n">
        <v>6.32</v>
      </c>
      <c r="H294" s="13" t="n">
        <v>5.73</v>
      </c>
      <c r="I294" s="15">
        <f>F294+G294+H294</f>
        <v/>
      </c>
      <c r="J294" s="15">
        <f>ROUND((I294-18.8)/18.8*100,2)</f>
        <v/>
      </c>
      <c r="K294" s="15" t="inlineStr">
        <is>
          <t>Normal</t>
        </is>
      </c>
    </row>
    <row r="295" ht="15" customHeight="1" s="11">
      <c r="A295" s="14" t="n">
        <v>294</v>
      </c>
      <c r="B295" s="14" t="inlineStr">
        <is>
          <t>COW010</t>
        </is>
      </c>
      <c r="C295" s="14" t="inlineStr">
        <is>
          <t>RFID100010</t>
        </is>
      </c>
      <c r="D295" s="14" t="inlineStr">
        <is>
          <t>2024-01-24</t>
        </is>
      </c>
      <c r="E295" s="14" t="inlineStr">
        <is>
          <t>08:00</t>
        </is>
      </c>
      <c r="F295" s="14" t="n">
        <v>6.15</v>
      </c>
      <c r="G295" s="14" t="n">
        <v>5.27</v>
      </c>
      <c r="H295" s="14" t="n">
        <v>6.57</v>
      </c>
      <c r="I295" s="15">
        <f>F295+G295+H295</f>
        <v/>
      </c>
      <c r="J295" s="15">
        <f>ROUND((I295-18.8)/18.8*100,2)</f>
        <v/>
      </c>
      <c r="K295" s="15" t="inlineStr">
        <is>
          <t>Normal</t>
        </is>
      </c>
    </row>
    <row r="296" ht="15" customHeight="1" s="11">
      <c r="A296" s="13" t="n">
        <v>295</v>
      </c>
      <c r="B296" s="13" t="inlineStr">
        <is>
          <t>COW010</t>
        </is>
      </c>
      <c r="C296" s="13" t="inlineStr">
        <is>
          <t>RFID100010</t>
        </is>
      </c>
      <c r="D296" s="13" t="inlineStr">
        <is>
          <t>2024-01-25</t>
        </is>
      </c>
      <c r="E296" s="13" t="inlineStr">
        <is>
          <t>08:00</t>
        </is>
      </c>
      <c r="F296" s="13" t="n">
        <v>6.49</v>
      </c>
      <c r="G296" s="13" t="n">
        <v>5.87</v>
      </c>
      <c r="H296" s="13" t="n">
        <v>5.48</v>
      </c>
      <c r="I296" s="15">
        <f>F296+G296+H296</f>
        <v/>
      </c>
      <c r="J296" s="15">
        <f>ROUND((I296-18.8)/18.8*100,2)</f>
        <v/>
      </c>
      <c r="K296" s="15" t="inlineStr">
        <is>
          <t>Normal</t>
        </is>
      </c>
    </row>
    <row r="297" ht="15" customHeight="1" s="11">
      <c r="A297" s="14" t="n">
        <v>296</v>
      </c>
      <c r="B297" s="14" t="inlineStr">
        <is>
          <t>COW010</t>
        </is>
      </c>
      <c r="C297" s="14" t="inlineStr">
        <is>
          <t>RFID100010</t>
        </is>
      </c>
      <c r="D297" s="14" t="inlineStr">
        <is>
          <t>2024-01-26</t>
        </is>
      </c>
      <c r="E297" s="14" t="inlineStr">
        <is>
          <t>08:00</t>
        </is>
      </c>
      <c r="F297" s="14" t="n">
        <v>6.59</v>
      </c>
      <c r="G297" s="14" t="n">
        <v>5.31</v>
      </c>
      <c r="H297" s="14" t="n">
        <v>6.39</v>
      </c>
      <c r="I297" s="15">
        <f>F297+G297+H297</f>
        <v/>
      </c>
      <c r="J297" s="15">
        <f>ROUND((I297-18.8)/18.8*100,2)</f>
        <v/>
      </c>
      <c r="K297" s="15" t="inlineStr">
        <is>
          <t>Normal</t>
        </is>
      </c>
    </row>
    <row r="298" ht="15" customHeight="1" s="11">
      <c r="A298" s="13" t="n">
        <v>297</v>
      </c>
      <c r="B298" s="13" t="inlineStr">
        <is>
          <t>COW010</t>
        </is>
      </c>
      <c r="C298" s="13" t="inlineStr">
        <is>
          <t>RFID100010</t>
        </is>
      </c>
      <c r="D298" s="13" t="inlineStr">
        <is>
          <t>2024-01-27</t>
        </is>
      </c>
      <c r="E298" s="13" t="inlineStr">
        <is>
          <t>08:00</t>
        </is>
      </c>
      <c r="F298" s="13" t="n">
        <v>5.96</v>
      </c>
      <c r="G298" s="13" t="n">
        <v>5.9</v>
      </c>
      <c r="H298" s="13" t="n">
        <v>5.78</v>
      </c>
      <c r="I298" s="15">
        <f>F298+G298+H298</f>
        <v/>
      </c>
      <c r="J298" s="15">
        <f>ROUND((I298-18.8)/18.8*100,2)</f>
        <v/>
      </c>
      <c r="K298" s="15" t="inlineStr">
        <is>
          <t>Normal</t>
        </is>
      </c>
    </row>
    <row r="299" ht="15" customHeight="1" s="11">
      <c r="A299" s="14" t="n">
        <v>298</v>
      </c>
      <c r="B299" s="14" t="inlineStr">
        <is>
          <t>COW010</t>
        </is>
      </c>
      <c r="C299" s="14" t="inlineStr">
        <is>
          <t>RFID100010</t>
        </is>
      </c>
      <c r="D299" s="14" t="inlineStr">
        <is>
          <t>2024-01-28</t>
        </is>
      </c>
      <c r="E299" s="14" t="inlineStr">
        <is>
          <t>08:00</t>
        </is>
      </c>
      <c r="F299" s="14" t="n">
        <v>6.2</v>
      </c>
      <c r="G299" s="14" t="n">
        <v>6.35</v>
      </c>
      <c r="H299" s="14" t="n">
        <v>6.43</v>
      </c>
      <c r="I299" s="15">
        <f>F299+G299+H299</f>
        <v/>
      </c>
      <c r="J299" s="15">
        <f>ROUND((I299-18.8)/18.8*100,2)</f>
        <v/>
      </c>
      <c r="K299" s="15" t="inlineStr">
        <is>
          <t>Normal</t>
        </is>
      </c>
    </row>
    <row r="300" ht="15" customHeight="1" s="11">
      <c r="A300" s="13" t="n">
        <v>299</v>
      </c>
      <c r="B300" s="13" t="inlineStr">
        <is>
          <t>COW010</t>
        </is>
      </c>
      <c r="C300" s="13" t="inlineStr">
        <is>
          <t>RFID100010</t>
        </is>
      </c>
      <c r="D300" s="13" t="inlineStr">
        <is>
          <t>2024-01-29</t>
        </is>
      </c>
      <c r="E300" s="13" t="inlineStr">
        <is>
          <t>08:00</t>
        </is>
      </c>
      <c r="F300" s="13" t="n">
        <v>6.49</v>
      </c>
      <c r="G300" s="13" t="n">
        <v>5.39</v>
      </c>
      <c r="H300" s="13" t="n">
        <v>5.34</v>
      </c>
      <c r="I300" s="15">
        <f>F300+G300+H300</f>
        <v/>
      </c>
      <c r="J300" s="15">
        <f>ROUND((I300-18.8)/18.8*100,2)</f>
        <v/>
      </c>
      <c r="K300" s="15" t="inlineStr">
        <is>
          <t>Normal</t>
        </is>
      </c>
    </row>
    <row r="301" ht="15" customHeight="1" s="11">
      <c r="A301" s="14" t="n">
        <v>300</v>
      </c>
      <c r="B301" s="14" t="inlineStr">
        <is>
          <t>COW010</t>
        </is>
      </c>
      <c r="C301" s="14" t="inlineStr">
        <is>
          <t>RFID100010</t>
        </is>
      </c>
      <c r="D301" s="14" t="inlineStr">
        <is>
          <t>2024-01-30</t>
        </is>
      </c>
      <c r="E301" s="14" t="inlineStr">
        <is>
          <t>08:00</t>
        </is>
      </c>
      <c r="F301" s="14" t="n">
        <v>5.88</v>
      </c>
      <c r="G301" s="14" t="n">
        <v>6.19</v>
      </c>
      <c r="H301" s="14" t="n">
        <v>6.28</v>
      </c>
      <c r="I301" s="15">
        <f>F301+G301+H301</f>
        <v/>
      </c>
      <c r="J301" s="15">
        <f>ROUND((I301-18.8)/18.8*100,2)</f>
        <v/>
      </c>
      <c r="K301" s="15" t="inlineStr">
        <is>
          <t>Normal</t>
        </is>
      </c>
    </row>
    <row r="302" ht="15" customHeight="1" s="11">
      <c r="A302" s="13" t="n">
        <v>301</v>
      </c>
      <c r="B302" s="13" t="inlineStr">
        <is>
          <t>COW011</t>
        </is>
      </c>
      <c r="C302" s="13" t="inlineStr">
        <is>
          <t>RFID100011</t>
        </is>
      </c>
      <c r="D302" s="13" t="inlineStr">
        <is>
          <t>2024-01-01</t>
        </is>
      </c>
      <c r="E302" s="13" t="inlineStr">
        <is>
          <t>08:00</t>
        </is>
      </c>
      <c r="F302" s="13" t="n">
        <v>7.31</v>
      </c>
      <c r="G302" s="13" t="n">
        <v>6.6</v>
      </c>
      <c r="H302" s="13" t="n">
        <v>6.53</v>
      </c>
      <c r="I302" s="15">
        <f>F302+G302+H302</f>
        <v/>
      </c>
      <c r="J302" s="15">
        <f>ROUND((I302-20.7)/20.7*100,2)</f>
        <v/>
      </c>
      <c r="K302" s="15" t="inlineStr">
        <is>
          <t>Normal</t>
        </is>
      </c>
    </row>
    <row r="303" ht="15" customHeight="1" s="11">
      <c r="A303" s="14" t="n">
        <v>302</v>
      </c>
      <c r="B303" s="14" t="inlineStr">
        <is>
          <t>COW011</t>
        </is>
      </c>
      <c r="C303" s="14" t="inlineStr">
        <is>
          <t>RFID100011</t>
        </is>
      </c>
      <c r="D303" s="14" t="inlineStr">
        <is>
          <t>2024-01-02</t>
        </is>
      </c>
      <c r="E303" s="14" t="inlineStr">
        <is>
          <t>08:00</t>
        </is>
      </c>
      <c r="F303" s="14" t="n">
        <v>6.66</v>
      </c>
      <c r="G303" s="14" t="n">
        <v>7.05</v>
      </c>
      <c r="H303" s="14" t="n">
        <v>5.98</v>
      </c>
      <c r="I303" s="15">
        <f>F303+G303+H303</f>
        <v/>
      </c>
      <c r="J303" s="15">
        <f>ROUND((I303-20.7)/20.7*100,2)</f>
        <v/>
      </c>
      <c r="K303" s="15" t="inlineStr">
        <is>
          <t>Normal</t>
        </is>
      </c>
    </row>
    <row r="304" ht="15" customHeight="1" s="11">
      <c r="A304" s="13" t="n">
        <v>303</v>
      </c>
      <c r="B304" s="13" t="inlineStr">
        <is>
          <t>COW011</t>
        </is>
      </c>
      <c r="C304" s="13" t="inlineStr">
        <is>
          <t>RFID100011</t>
        </is>
      </c>
      <c r="D304" s="13" t="inlineStr">
        <is>
          <t>2024-01-03</t>
        </is>
      </c>
      <c r="E304" s="13" t="inlineStr">
        <is>
          <t>08:00</t>
        </is>
      </c>
      <c r="F304" s="13" t="n">
        <v>6.92</v>
      </c>
      <c r="G304" s="13" t="n">
        <v>6.27</v>
      </c>
      <c r="H304" s="13" t="n">
        <v>6.92</v>
      </c>
      <c r="I304" s="15">
        <f>F304+G304+H304</f>
        <v/>
      </c>
      <c r="J304" s="15">
        <f>ROUND((I304-20.7)/20.7*100,2)</f>
        <v/>
      </c>
      <c r="K304" s="15" t="inlineStr">
        <is>
          <t>Normal</t>
        </is>
      </c>
    </row>
    <row r="305" ht="15" customHeight="1" s="11">
      <c r="A305" s="14" t="n">
        <v>304</v>
      </c>
      <c r="B305" s="14" t="inlineStr">
        <is>
          <t>COW011</t>
        </is>
      </c>
      <c r="C305" s="14" t="inlineStr">
        <is>
          <t>RFID100011</t>
        </is>
      </c>
      <c r="D305" s="14" t="inlineStr">
        <is>
          <t>2024-01-04</t>
        </is>
      </c>
      <c r="E305" s="14" t="inlineStr">
        <is>
          <t>08:00</t>
        </is>
      </c>
      <c r="F305" s="14" t="n">
        <v>7.02</v>
      </c>
      <c r="G305" s="14" t="n">
        <v>6.9</v>
      </c>
      <c r="H305" s="14" t="n">
        <v>5.87</v>
      </c>
      <c r="I305" s="15">
        <f>F305+G305+H305</f>
        <v/>
      </c>
      <c r="J305" s="15">
        <f>ROUND((I305-20.7)/20.7*100,2)</f>
        <v/>
      </c>
      <c r="K305" s="15" t="inlineStr">
        <is>
          <t>Normal</t>
        </is>
      </c>
    </row>
    <row r="306" ht="15" customHeight="1" s="11">
      <c r="A306" s="13" t="n">
        <v>305</v>
      </c>
      <c r="B306" s="13" t="inlineStr">
        <is>
          <t>COW011</t>
        </is>
      </c>
      <c r="C306" s="13" t="inlineStr">
        <is>
          <t>RFID100011</t>
        </is>
      </c>
      <c r="D306" s="13" t="inlineStr">
        <is>
          <t>2024-01-05</t>
        </is>
      </c>
      <c r="E306" s="13" t="inlineStr">
        <is>
          <t>08:00</t>
        </is>
      </c>
      <c r="F306" s="13" t="n">
        <v>6.86</v>
      </c>
      <c r="G306" s="13" t="n">
        <v>6.79</v>
      </c>
      <c r="H306" s="13" t="n">
        <v>5.81</v>
      </c>
      <c r="I306" s="15">
        <f>F306+G306+H306</f>
        <v/>
      </c>
      <c r="J306" s="15">
        <f>ROUND((I306-20.7)/20.7*100,2)</f>
        <v/>
      </c>
      <c r="K306" s="15" t="inlineStr">
        <is>
          <t>Normal</t>
        </is>
      </c>
    </row>
    <row r="307" ht="15" customHeight="1" s="11">
      <c r="A307" s="14" t="n">
        <v>306</v>
      </c>
      <c r="B307" s="14" t="inlineStr">
        <is>
          <t>COW011</t>
        </is>
      </c>
      <c r="C307" s="14" t="inlineStr">
        <is>
          <t>RFID100011</t>
        </is>
      </c>
      <c r="D307" s="14" t="inlineStr">
        <is>
          <t>2024-01-06</t>
        </is>
      </c>
      <c r="E307" s="14" t="inlineStr">
        <is>
          <t>08:00</t>
        </is>
      </c>
      <c r="F307" s="14" t="n">
        <v>6.71</v>
      </c>
      <c r="G307" s="14" t="n">
        <v>6.15</v>
      </c>
      <c r="H307" s="14" t="n">
        <v>6.02</v>
      </c>
      <c r="I307" s="15">
        <f>F307+G307+H307</f>
        <v/>
      </c>
      <c r="J307" s="15">
        <f>ROUND((I307-20.7)/20.7*100,2)</f>
        <v/>
      </c>
      <c r="K307" s="15" t="inlineStr">
        <is>
          <t>Normal</t>
        </is>
      </c>
    </row>
    <row r="308" ht="15" customHeight="1" s="11">
      <c r="A308" s="13" t="n">
        <v>307</v>
      </c>
      <c r="B308" s="13" t="inlineStr">
        <is>
          <t>COW011</t>
        </is>
      </c>
      <c r="C308" s="13" t="inlineStr">
        <is>
          <t>RFID100011</t>
        </is>
      </c>
      <c r="D308" s="13" t="inlineStr">
        <is>
          <t>2024-01-07</t>
        </is>
      </c>
      <c r="E308" s="13" t="inlineStr">
        <is>
          <t>08:00</t>
        </is>
      </c>
      <c r="F308" s="13" t="n">
        <v>6.63</v>
      </c>
      <c r="G308" s="13" t="n">
        <v>6.34</v>
      </c>
      <c r="H308" s="13" t="n">
        <v>5.81</v>
      </c>
      <c r="I308" s="15">
        <f>F308+G308+H308</f>
        <v/>
      </c>
      <c r="J308" s="15">
        <f>ROUND((I308-20.7)/20.7*100,2)</f>
        <v/>
      </c>
      <c r="K308" s="15" t="inlineStr">
        <is>
          <t>Normal</t>
        </is>
      </c>
    </row>
    <row r="309" ht="15" customHeight="1" s="11">
      <c r="A309" s="14" t="n">
        <v>308</v>
      </c>
      <c r="B309" s="14" t="inlineStr">
        <is>
          <t>COW011</t>
        </is>
      </c>
      <c r="C309" s="14" t="inlineStr">
        <is>
          <t>RFID100011</t>
        </is>
      </c>
      <c r="D309" s="14" t="inlineStr">
        <is>
          <t>2024-01-08</t>
        </is>
      </c>
      <c r="E309" s="14" t="inlineStr">
        <is>
          <t>08:00</t>
        </is>
      </c>
      <c r="F309" s="14" t="n">
        <v>7.45</v>
      </c>
      <c r="G309" s="14" t="n">
        <v>6.09</v>
      </c>
      <c r="H309" s="14" t="n">
        <v>6.43</v>
      </c>
      <c r="I309" s="15">
        <f>F309+G309+H309</f>
        <v/>
      </c>
      <c r="J309" s="15">
        <f>ROUND((I309-20.7)/20.7*100,2)</f>
        <v/>
      </c>
      <c r="K309" s="15" t="inlineStr">
        <is>
          <t>Normal</t>
        </is>
      </c>
    </row>
    <row r="310" ht="15" customHeight="1" s="11">
      <c r="A310" s="13" t="n">
        <v>309</v>
      </c>
      <c r="B310" s="13" t="inlineStr">
        <is>
          <t>COW011</t>
        </is>
      </c>
      <c r="C310" s="13" t="inlineStr">
        <is>
          <t>RFID100011</t>
        </is>
      </c>
      <c r="D310" s="13" t="inlineStr">
        <is>
          <t>2024-01-09</t>
        </is>
      </c>
      <c r="E310" s="13" t="inlineStr">
        <is>
          <t>08:00</t>
        </is>
      </c>
      <c r="F310" s="13" t="n">
        <v>7.38</v>
      </c>
      <c r="G310" s="13" t="n">
        <v>6.62</v>
      </c>
      <c r="H310" s="13" t="n">
        <v>7.18</v>
      </c>
      <c r="I310" s="15">
        <f>F310+G310+H310</f>
        <v/>
      </c>
      <c r="J310" s="15">
        <f>ROUND((I310-20.7)/20.7*100,2)</f>
        <v/>
      </c>
      <c r="K310" s="15" t="inlineStr">
        <is>
          <t>Normal</t>
        </is>
      </c>
    </row>
    <row r="311" ht="15" customHeight="1" s="11">
      <c r="A311" s="14" t="n">
        <v>310</v>
      </c>
      <c r="B311" s="14" t="inlineStr">
        <is>
          <t>COW011</t>
        </is>
      </c>
      <c r="C311" s="14" t="inlineStr">
        <is>
          <t>RFID100011</t>
        </is>
      </c>
      <c r="D311" s="14" t="inlineStr">
        <is>
          <t>2024-01-10</t>
        </is>
      </c>
      <c r="E311" s="14" t="inlineStr">
        <is>
          <t>08:00</t>
        </is>
      </c>
      <c r="F311" s="14" t="n">
        <v>7.55</v>
      </c>
      <c r="G311" s="14" t="n">
        <v>5.92</v>
      </c>
      <c r="H311" s="14" t="n">
        <v>7.22</v>
      </c>
      <c r="I311" s="15">
        <f>F311+G311+H311</f>
        <v/>
      </c>
      <c r="J311" s="15">
        <f>ROUND((I311-20.7)/20.7*100,2)</f>
        <v/>
      </c>
      <c r="K311" s="15" t="inlineStr">
        <is>
          <t>Normal</t>
        </is>
      </c>
    </row>
    <row r="312" ht="15" customHeight="1" s="11">
      <c r="A312" s="13" t="n">
        <v>311</v>
      </c>
      <c r="B312" s="13" t="inlineStr">
        <is>
          <t>COW011</t>
        </is>
      </c>
      <c r="C312" s="13" t="inlineStr">
        <is>
          <t>RFID100011</t>
        </is>
      </c>
      <c r="D312" s="13" t="inlineStr">
        <is>
          <t>2024-01-11</t>
        </is>
      </c>
      <c r="E312" s="13" t="inlineStr">
        <is>
          <t>08:00</t>
        </is>
      </c>
      <c r="F312" s="13" t="n">
        <v>6.28</v>
      </c>
      <c r="G312" s="13" t="n">
        <v>5.83</v>
      </c>
      <c r="H312" s="13" t="n">
        <v>7.32</v>
      </c>
      <c r="I312" s="15">
        <f>F312+G312+H312</f>
        <v/>
      </c>
      <c r="J312" s="15">
        <f>ROUND((I312-20.7)/20.7*100,2)</f>
        <v/>
      </c>
      <c r="K312" s="15" t="inlineStr">
        <is>
          <t>Normal</t>
        </is>
      </c>
    </row>
    <row r="313" ht="15" customHeight="1" s="11">
      <c r="A313" s="14" t="n">
        <v>312</v>
      </c>
      <c r="B313" s="14" t="inlineStr">
        <is>
          <t>COW011</t>
        </is>
      </c>
      <c r="C313" s="14" t="inlineStr">
        <is>
          <t>RFID100011</t>
        </is>
      </c>
      <c r="D313" s="14" t="inlineStr">
        <is>
          <t>2024-01-12</t>
        </is>
      </c>
      <c r="E313" s="14" t="inlineStr">
        <is>
          <t>08:00</t>
        </is>
      </c>
      <c r="F313" s="14" t="n">
        <v>7.64</v>
      </c>
      <c r="G313" s="14" t="n">
        <v>6.75</v>
      </c>
      <c r="H313" s="14" t="n">
        <v>6.75</v>
      </c>
      <c r="I313" s="15">
        <f>F313+G313+H313</f>
        <v/>
      </c>
      <c r="J313" s="15">
        <f>ROUND((I313-20.7)/20.7*100,2)</f>
        <v/>
      </c>
      <c r="K313" s="15" t="inlineStr">
        <is>
          <t>Normal</t>
        </is>
      </c>
    </row>
    <row r="314" ht="15" customHeight="1" s="11">
      <c r="A314" s="13" t="n">
        <v>313</v>
      </c>
      <c r="B314" s="13" t="inlineStr">
        <is>
          <t>COW011</t>
        </is>
      </c>
      <c r="C314" s="13" t="inlineStr">
        <is>
          <t>RFID100011</t>
        </is>
      </c>
      <c r="D314" s="13" t="inlineStr">
        <is>
          <t>2024-01-13</t>
        </is>
      </c>
      <c r="E314" s="13" t="inlineStr">
        <is>
          <t>08:00</t>
        </is>
      </c>
      <c r="F314" s="13" t="n">
        <v>7.38</v>
      </c>
      <c r="G314" s="13" t="n">
        <v>6.49</v>
      </c>
      <c r="H314" s="13" t="n">
        <v>5.99</v>
      </c>
      <c r="I314" s="15">
        <f>F314+G314+H314</f>
        <v/>
      </c>
      <c r="J314" s="15">
        <f>ROUND((I314-20.7)/20.7*100,2)</f>
        <v/>
      </c>
      <c r="K314" s="15" t="inlineStr">
        <is>
          <t>Normal</t>
        </is>
      </c>
    </row>
    <row r="315" ht="15" customHeight="1" s="11">
      <c r="A315" s="14" t="n">
        <v>314</v>
      </c>
      <c r="B315" s="14" t="inlineStr">
        <is>
          <t>COW011</t>
        </is>
      </c>
      <c r="C315" s="14" t="inlineStr">
        <is>
          <t>RFID100011</t>
        </is>
      </c>
      <c r="D315" s="14" t="inlineStr">
        <is>
          <t>2024-01-14</t>
        </is>
      </c>
      <c r="E315" s="14" t="inlineStr">
        <is>
          <t>08:00</t>
        </is>
      </c>
      <c r="F315" s="14" t="n">
        <v>6.24</v>
      </c>
      <c r="G315" s="14" t="n">
        <v>6.33</v>
      </c>
      <c r="H315" s="14" t="n">
        <v>7.12</v>
      </c>
      <c r="I315" s="15">
        <f>F315+G315+H315</f>
        <v/>
      </c>
      <c r="J315" s="15">
        <f>ROUND((I315-20.7)/20.7*100,2)</f>
        <v/>
      </c>
      <c r="K315" s="15" t="inlineStr">
        <is>
          <t>Normal</t>
        </is>
      </c>
    </row>
    <row r="316" ht="15" customHeight="1" s="11">
      <c r="A316" s="13" t="n">
        <v>315</v>
      </c>
      <c r="B316" s="13" t="inlineStr">
        <is>
          <t>COW011</t>
        </is>
      </c>
      <c r="C316" s="13" t="inlineStr">
        <is>
          <t>RFID100011</t>
        </is>
      </c>
      <c r="D316" s="13" t="inlineStr">
        <is>
          <t>2024-01-15</t>
        </is>
      </c>
      <c r="E316" s="13" t="inlineStr">
        <is>
          <t>08:00</t>
        </is>
      </c>
      <c r="F316" s="13" t="n">
        <v>7.23</v>
      </c>
      <c r="G316" s="13" t="n">
        <v>7.17</v>
      </c>
      <c r="H316" s="13" t="n">
        <v>7.32</v>
      </c>
      <c r="I316" s="15">
        <f>F316+G316+H316</f>
        <v/>
      </c>
      <c r="J316" s="15">
        <f>ROUND((I316-20.7)/20.7*100,2)</f>
        <v/>
      </c>
      <c r="K316" s="15" t="inlineStr">
        <is>
          <t>Normal</t>
        </is>
      </c>
    </row>
    <row r="317" ht="15" customHeight="1" s="11">
      <c r="A317" s="14" t="n">
        <v>316</v>
      </c>
      <c r="B317" s="14" t="inlineStr">
        <is>
          <t>COW011</t>
        </is>
      </c>
      <c r="C317" s="14" t="inlineStr">
        <is>
          <t>RFID100011</t>
        </is>
      </c>
      <c r="D317" s="14" t="inlineStr">
        <is>
          <t>2024-01-16</t>
        </is>
      </c>
      <c r="E317" s="14" t="inlineStr">
        <is>
          <t>08:00</t>
        </is>
      </c>
      <c r="F317" s="14" t="n">
        <v>6.36</v>
      </c>
      <c r="G317" s="14" t="n">
        <v>7.19</v>
      </c>
      <c r="H317" s="14" t="n">
        <v>6.2</v>
      </c>
      <c r="I317" s="15">
        <f>F317+G317+H317</f>
        <v/>
      </c>
      <c r="J317" s="15">
        <f>ROUND((I317-20.7)/20.7*100,2)</f>
        <v/>
      </c>
      <c r="K317" s="15" t="inlineStr">
        <is>
          <t>Normal</t>
        </is>
      </c>
    </row>
    <row r="318" ht="15" customHeight="1" s="11">
      <c r="A318" s="13" t="n">
        <v>317</v>
      </c>
      <c r="B318" s="13" t="inlineStr">
        <is>
          <t>COW011</t>
        </is>
      </c>
      <c r="C318" s="13" t="inlineStr">
        <is>
          <t>RFID100011</t>
        </is>
      </c>
      <c r="D318" s="13" t="inlineStr">
        <is>
          <t>2024-01-17</t>
        </is>
      </c>
      <c r="E318" s="13" t="inlineStr">
        <is>
          <t>08:00</t>
        </is>
      </c>
      <c r="F318" s="13" t="n">
        <v>7.19</v>
      </c>
      <c r="G318" s="13" t="n">
        <v>6.66</v>
      </c>
      <c r="H318" s="13" t="n">
        <v>6.45</v>
      </c>
      <c r="I318" s="15">
        <f>F318+G318+H318</f>
        <v/>
      </c>
      <c r="J318" s="15">
        <f>ROUND((I318-20.7)/20.7*100,2)</f>
        <v/>
      </c>
      <c r="K318" s="15" t="inlineStr">
        <is>
          <t>Normal</t>
        </is>
      </c>
    </row>
    <row r="319" ht="15" customHeight="1" s="11">
      <c r="A319" s="14" t="n">
        <v>318</v>
      </c>
      <c r="B319" s="14" t="inlineStr">
        <is>
          <t>COW011</t>
        </is>
      </c>
      <c r="C319" s="14" t="inlineStr">
        <is>
          <t>RFID100011</t>
        </is>
      </c>
      <c r="D319" s="14" t="inlineStr">
        <is>
          <t>2024-01-18</t>
        </is>
      </c>
      <c r="E319" s="14" t="inlineStr">
        <is>
          <t>08:00</t>
        </is>
      </c>
      <c r="F319" s="14" t="n">
        <v>6.72</v>
      </c>
      <c r="G319" s="14" t="n">
        <v>6.36</v>
      </c>
      <c r="H319" s="14" t="n">
        <v>6.35</v>
      </c>
      <c r="I319" s="15">
        <f>F319+G319+H319</f>
        <v/>
      </c>
      <c r="J319" s="15">
        <f>ROUND((I319-20.7)/20.7*100,2)</f>
        <v/>
      </c>
      <c r="K319" s="15" t="inlineStr">
        <is>
          <t>Normal</t>
        </is>
      </c>
    </row>
    <row r="320" ht="15" customHeight="1" s="11">
      <c r="A320" s="13" t="n">
        <v>319</v>
      </c>
      <c r="B320" s="13" t="inlineStr">
        <is>
          <t>COW011</t>
        </is>
      </c>
      <c r="C320" s="13" t="inlineStr">
        <is>
          <t>RFID100011</t>
        </is>
      </c>
      <c r="D320" s="13" t="inlineStr">
        <is>
          <t>2024-01-19</t>
        </is>
      </c>
      <c r="E320" s="13" t="inlineStr">
        <is>
          <t>08:00</t>
        </is>
      </c>
      <c r="F320" s="13" t="n">
        <v>6.49</v>
      </c>
      <c r="G320" s="13" t="n">
        <v>6.64</v>
      </c>
      <c r="H320" s="13" t="n">
        <v>5.98</v>
      </c>
      <c r="I320" s="15">
        <f>F320+G320+H320</f>
        <v/>
      </c>
      <c r="J320" s="15">
        <f>ROUND((I320-20.7)/20.7*100,2)</f>
        <v/>
      </c>
      <c r="K320" s="15" t="inlineStr">
        <is>
          <t>Normal</t>
        </is>
      </c>
    </row>
    <row r="321" ht="15" customHeight="1" s="11">
      <c r="A321" s="14" t="n">
        <v>320</v>
      </c>
      <c r="B321" s="14" t="inlineStr">
        <is>
          <t>COW011</t>
        </is>
      </c>
      <c r="C321" s="14" t="inlineStr">
        <is>
          <t>RFID100011</t>
        </is>
      </c>
      <c r="D321" s="14" t="inlineStr">
        <is>
          <t>2024-01-20</t>
        </is>
      </c>
      <c r="E321" s="14" t="inlineStr">
        <is>
          <t>08:00</t>
        </is>
      </c>
      <c r="F321" s="14" t="n">
        <v>7.05</v>
      </c>
      <c r="G321" s="14" t="n">
        <v>7.3</v>
      </c>
      <c r="H321" s="14" t="n">
        <v>6.37</v>
      </c>
      <c r="I321" s="15">
        <f>F321+G321+H321</f>
        <v/>
      </c>
      <c r="J321" s="15">
        <f>ROUND((I321-20.7)/20.7*100,2)</f>
        <v/>
      </c>
      <c r="K321" s="15" t="inlineStr">
        <is>
          <t>Normal</t>
        </is>
      </c>
    </row>
    <row r="322" ht="15" customHeight="1" s="11">
      <c r="A322" s="13" t="n">
        <v>321</v>
      </c>
      <c r="B322" s="13" t="inlineStr">
        <is>
          <t>COW011</t>
        </is>
      </c>
      <c r="C322" s="13" t="inlineStr">
        <is>
          <t>RFID100011</t>
        </is>
      </c>
      <c r="D322" s="13" t="inlineStr">
        <is>
          <t>2024-01-21</t>
        </is>
      </c>
      <c r="E322" s="13" t="inlineStr">
        <is>
          <t>08:00</t>
        </is>
      </c>
      <c r="F322" s="13" t="n">
        <v>7.41</v>
      </c>
      <c r="G322" s="13" t="n">
        <v>7.15</v>
      </c>
      <c r="H322" s="13" t="n">
        <v>7.15</v>
      </c>
      <c r="I322" s="15">
        <f>F322+G322+H322</f>
        <v/>
      </c>
      <c r="J322" s="15">
        <f>ROUND((I322-20.7)/20.7*100,2)</f>
        <v/>
      </c>
      <c r="K322" s="15" t="inlineStr">
        <is>
          <t>Normal</t>
        </is>
      </c>
    </row>
    <row r="323" ht="15" customHeight="1" s="11">
      <c r="A323" s="14" t="n">
        <v>322</v>
      </c>
      <c r="B323" s="14" t="inlineStr">
        <is>
          <t>COW011</t>
        </is>
      </c>
      <c r="C323" s="14" t="inlineStr">
        <is>
          <t>RFID100011</t>
        </is>
      </c>
      <c r="D323" s="14" t="inlineStr">
        <is>
          <t>2024-01-22</t>
        </is>
      </c>
      <c r="E323" s="14" t="inlineStr">
        <is>
          <t>08:00</t>
        </is>
      </c>
      <c r="F323" s="14" t="n">
        <v>6.6</v>
      </c>
      <c r="G323" s="14" t="n">
        <v>6.04</v>
      </c>
      <c r="H323" s="14" t="n">
        <v>6.12</v>
      </c>
      <c r="I323" s="15">
        <f>F323+G323+H323</f>
        <v/>
      </c>
      <c r="J323" s="15">
        <f>ROUND((I323-20.7)/20.7*100,2)</f>
        <v/>
      </c>
      <c r="K323" s="15" t="inlineStr">
        <is>
          <t>Normal</t>
        </is>
      </c>
    </row>
    <row r="324" ht="15" customHeight="1" s="11">
      <c r="A324" s="13" t="n">
        <v>323</v>
      </c>
      <c r="B324" s="13" t="inlineStr">
        <is>
          <t>COW011</t>
        </is>
      </c>
      <c r="C324" s="13" t="inlineStr">
        <is>
          <t>RFID100011</t>
        </is>
      </c>
      <c r="D324" s="13" t="inlineStr">
        <is>
          <t>2024-01-23</t>
        </is>
      </c>
      <c r="E324" s="13" t="inlineStr">
        <is>
          <t>08:00</t>
        </is>
      </c>
      <c r="F324" s="13" t="n">
        <v>7.21</v>
      </c>
      <c r="G324" s="13" t="n">
        <v>7.05</v>
      </c>
      <c r="H324" s="13" t="n">
        <v>6.88</v>
      </c>
      <c r="I324" s="15">
        <f>F324+G324+H324</f>
        <v/>
      </c>
      <c r="J324" s="15">
        <f>ROUND((I324-20.7)/20.7*100,2)</f>
        <v/>
      </c>
      <c r="K324" s="15" t="inlineStr">
        <is>
          <t>Normal</t>
        </is>
      </c>
    </row>
    <row r="325" ht="15" customHeight="1" s="11">
      <c r="A325" s="14" t="n">
        <v>324</v>
      </c>
      <c r="B325" s="14" t="inlineStr">
        <is>
          <t>COW011</t>
        </is>
      </c>
      <c r="C325" s="14" t="inlineStr">
        <is>
          <t>RFID100011</t>
        </is>
      </c>
      <c r="D325" s="14" t="inlineStr">
        <is>
          <t>2024-01-24</t>
        </is>
      </c>
      <c r="E325" s="14" t="inlineStr">
        <is>
          <t>08:00</t>
        </is>
      </c>
      <c r="F325" s="14" t="n">
        <v>6.5</v>
      </c>
      <c r="G325" s="14" t="n">
        <v>7.08</v>
      </c>
      <c r="H325" s="14" t="n">
        <v>6.61</v>
      </c>
      <c r="I325" s="15">
        <f>F325+G325+H325</f>
        <v/>
      </c>
      <c r="J325" s="15">
        <f>ROUND((I325-20.7)/20.7*100,2)</f>
        <v/>
      </c>
      <c r="K325" s="15" t="inlineStr">
        <is>
          <t>Normal</t>
        </is>
      </c>
    </row>
    <row r="326" ht="15" customHeight="1" s="11">
      <c r="A326" s="13" t="n">
        <v>325</v>
      </c>
      <c r="B326" s="13" t="inlineStr">
        <is>
          <t>COW011</t>
        </is>
      </c>
      <c r="C326" s="13" t="inlineStr">
        <is>
          <t>RFID100011</t>
        </is>
      </c>
      <c r="D326" s="13" t="inlineStr">
        <is>
          <t>2024-01-25</t>
        </is>
      </c>
      <c r="E326" s="13" t="inlineStr">
        <is>
          <t>08:00</t>
        </is>
      </c>
      <c r="F326" s="13" t="n">
        <v>7.46</v>
      </c>
      <c r="G326" s="13" t="n">
        <v>7.05</v>
      </c>
      <c r="H326" s="13" t="n">
        <v>6.54</v>
      </c>
      <c r="I326" s="15">
        <f>F326+G326+H326</f>
        <v/>
      </c>
      <c r="J326" s="15">
        <f>ROUND((I326-20.7)/20.7*100,2)</f>
        <v/>
      </c>
      <c r="K326" s="15" t="inlineStr">
        <is>
          <t>Normal</t>
        </is>
      </c>
    </row>
    <row r="327" ht="15" customHeight="1" s="11">
      <c r="A327" s="14" t="n">
        <v>326</v>
      </c>
      <c r="B327" s="14" t="inlineStr">
        <is>
          <t>COW011</t>
        </is>
      </c>
      <c r="C327" s="14" t="inlineStr">
        <is>
          <t>RFID100011</t>
        </is>
      </c>
      <c r="D327" s="14" t="inlineStr">
        <is>
          <t>2024-01-26</t>
        </is>
      </c>
      <c r="E327" s="14" t="inlineStr">
        <is>
          <t>08:00</t>
        </is>
      </c>
      <c r="F327" s="14" t="n">
        <v>7.74</v>
      </c>
      <c r="G327" s="14" t="n">
        <v>6.73</v>
      </c>
      <c r="H327" s="14" t="n">
        <v>6.85</v>
      </c>
      <c r="I327" s="15">
        <f>F327+G327+H327</f>
        <v/>
      </c>
      <c r="J327" s="15">
        <f>ROUND((I327-20.7)/20.7*100,2)</f>
        <v/>
      </c>
      <c r="K327" s="15" t="inlineStr">
        <is>
          <t>Normal</t>
        </is>
      </c>
    </row>
    <row r="328" ht="15" customHeight="1" s="11">
      <c r="A328" s="13" t="n">
        <v>327</v>
      </c>
      <c r="B328" s="13" t="inlineStr">
        <is>
          <t>COW011</t>
        </is>
      </c>
      <c r="C328" s="13" t="inlineStr">
        <is>
          <t>RFID100011</t>
        </is>
      </c>
      <c r="D328" s="13" t="inlineStr">
        <is>
          <t>2024-01-27</t>
        </is>
      </c>
      <c r="E328" s="13" t="inlineStr">
        <is>
          <t>08:00</t>
        </is>
      </c>
      <c r="F328" s="13" t="n">
        <v>7.24</v>
      </c>
      <c r="G328" s="13" t="n">
        <v>7.23</v>
      </c>
      <c r="H328" s="13" t="n">
        <v>6.83</v>
      </c>
      <c r="I328" s="15">
        <f>F328+G328+H328</f>
        <v/>
      </c>
      <c r="J328" s="15">
        <f>ROUND((I328-20.7)/20.7*100,2)</f>
        <v/>
      </c>
      <c r="K328" s="15" t="inlineStr">
        <is>
          <t>Normal</t>
        </is>
      </c>
    </row>
    <row r="329" ht="15" customHeight="1" s="11">
      <c r="A329" s="14" t="n">
        <v>328</v>
      </c>
      <c r="B329" s="14" t="inlineStr">
        <is>
          <t>COW011</t>
        </is>
      </c>
      <c r="C329" s="14" t="inlineStr">
        <is>
          <t>RFID100011</t>
        </is>
      </c>
      <c r="D329" s="14" t="inlineStr">
        <is>
          <t>2024-01-28</t>
        </is>
      </c>
      <c r="E329" s="14" t="inlineStr">
        <is>
          <t>08:00</t>
        </is>
      </c>
      <c r="F329" s="14" t="n">
        <v>6.46</v>
      </c>
      <c r="G329" s="14" t="n">
        <v>5.91</v>
      </c>
      <c r="H329" s="14" t="n">
        <v>6.53</v>
      </c>
      <c r="I329" s="15">
        <f>F329+G329+H329</f>
        <v/>
      </c>
      <c r="J329" s="15">
        <f>ROUND((I329-20.7)/20.7*100,2)</f>
        <v/>
      </c>
      <c r="K329" s="15" t="inlineStr">
        <is>
          <t>Normal</t>
        </is>
      </c>
    </row>
    <row r="330" ht="15" customHeight="1" s="11">
      <c r="A330" s="13" t="n">
        <v>329</v>
      </c>
      <c r="B330" s="13" t="inlineStr">
        <is>
          <t>COW011</t>
        </is>
      </c>
      <c r="C330" s="13" t="inlineStr">
        <is>
          <t>RFID100011</t>
        </is>
      </c>
      <c r="D330" s="13" t="inlineStr">
        <is>
          <t>2024-01-29</t>
        </is>
      </c>
      <c r="E330" s="13" t="inlineStr">
        <is>
          <t>08:00</t>
        </is>
      </c>
      <c r="F330" s="13" t="n">
        <v>6.71</v>
      </c>
      <c r="G330" s="13" t="n">
        <v>6.25</v>
      </c>
      <c r="H330" s="13" t="n">
        <v>5.89</v>
      </c>
      <c r="I330" s="15">
        <f>F330+G330+H330</f>
        <v/>
      </c>
      <c r="J330" s="15">
        <f>ROUND((I330-20.7)/20.7*100,2)</f>
        <v/>
      </c>
      <c r="K330" s="15" t="inlineStr">
        <is>
          <t>Normal</t>
        </is>
      </c>
    </row>
    <row r="331" ht="15" customHeight="1" s="11">
      <c r="A331" s="14" t="n">
        <v>330</v>
      </c>
      <c r="B331" s="14" t="inlineStr">
        <is>
          <t>COW011</t>
        </is>
      </c>
      <c r="C331" s="14" t="inlineStr">
        <is>
          <t>RFID100011</t>
        </is>
      </c>
      <c r="D331" s="14" t="inlineStr">
        <is>
          <t>2024-01-30</t>
        </is>
      </c>
      <c r="E331" s="14" t="inlineStr">
        <is>
          <t>08:00</t>
        </is>
      </c>
      <c r="F331" s="14" t="n">
        <v>7.05</v>
      </c>
      <c r="G331" s="14" t="n">
        <v>6.31</v>
      </c>
      <c r="H331" s="14" t="n">
        <v>6.54</v>
      </c>
      <c r="I331" s="15">
        <f>F331+G331+H331</f>
        <v/>
      </c>
      <c r="J331" s="15">
        <f>ROUND((I331-20.7)/20.7*100,2)</f>
        <v/>
      </c>
      <c r="K331" s="15" t="inlineStr">
        <is>
          <t>Normal</t>
        </is>
      </c>
    </row>
    <row r="332" ht="15" customHeight="1" s="11">
      <c r="A332" s="13" t="n">
        <v>331</v>
      </c>
      <c r="B332" s="13" t="inlineStr">
        <is>
          <t>COW012</t>
        </is>
      </c>
      <c r="C332" s="13" t="inlineStr">
        <is>
          <t>RFID100012</t>
        </is>
      </c>
      <c r="D332" s="13" t="inlineStr">
        <is>
          <t>2024-01-01</t>
        </is>
      </c>
      <c r="E332" s="13" t="inlineStr">
        <is>
          <t>08:00</t>
        </is>
      </c>
      <c r="F332" s="13" t="n">
        <v>6.82</v>
      </c>
      <c r="G332" s="13" t="n">
        <v>5.32</v>
      </c>
      <c r="H332" s="13" t="n">
        <v>6.49</v>
      </c>
      <c r="I332" s="15">
        <f>F332+G332+H332</f>
        <v/>
      </c>
      <c r="J332" s="15">
        <f>ROUND((I332-18.6)/18.6*100,2)</f>
        <v/>
      </c>
      <c r="K332" s="15" t="inlineStr">
        <is>
          <t>Normal</t>
        </is>
      </c>
    </row>
    <row r="333" ht="15" customHeight="1" s="11">
      <c r="A333" s="14" t="n">
        <v>332</v>
      </c>
      <c r="B333" s="14" t="inlineStr">
        <is>
          <t>COW012</t>
        </is>
      </c>
      <c r="C333" s="14" t="inlineStr">
        <is>
          <t>RFID100012</t>
        </is>
      </c>
      <c r="D333" s="14" t="inlineStr">
        <is>
          <t>2024-01-02</t>
        </is>
      </c>
      <c r="E333" s="14" t="inlineStr">
        <is>
          <t>08:00</t>
        </is>
      </c>
      <c r="F333" s="14" t="n">
        <v>6.85</v>
      </c>
      <c r="G333" s="14" t="n">
        <v>6.12</v>
      </c>
      <c r="H333" s="14" t="n">
        <v>5.96</v>
      </c>
      <c r="I333" s="15">
        <f>F333+G333+H333</f>
        <v/>
      </c>
      <c r="J333" s="15">
        <f>ROUND((I333-18.6)/18.6*100,2)</f>
        <v/>
      </c>
      <c r="K333" s="15" t="inlineStr">
        <is>
          <t>Normal</t>
        </is>
      </c>
    </row>
    <row r="334" ht="15" customHeight="1" s="11">
      <c r="A334" s="13" t="n">
        <v>333</v>
      </c>
      <c r="B334" s="13" t="inlineStr">
        <is>
          <t>COW012</t>
        </is>
      </c>
      <c r="C334" s="13" t="inlineStr">
        <is>
          <t>RFID100012</t>
        </is>
      </c>
      <c r="D334" s="13" t="inlineStr">
        <is>
          <t>2024-01-03</t>
        </is>
      </c>
      <c r="E334" s="13" t="inlineStr">
        <is>
          <t>08:00</t>
        </is>
      </c>
      <c r="F334" s="13" t="n">
        <v>6.27</v>
      </c>
      <c r="G334" s="13" t="n">
        <v>6.03</v>
      </c>
      <c r="H334" s="13" t="n">
        <v>6.39</v>
      </c>
      <c r="I334" s="15">
        <f>F334+G334+H334</f>
        <v/>
      </c>
      <c r="J334" s="15">
        <f>ROUND((I334-18.6)/18.6*100,2)</f>
        <v/>
      </c>
      <c r="K334" s="15" t="inlineStr">
        <is>
          <t>Normal</t>
        </is>
      </c>
    </row>
    <row r="335" ht="15" customHeight="1" s="11">
      <c r="A335" s="14" t="n">
        <v>334</v>
      </c>
      <c r="B335" s="14" t="inlineStr">
        <is>
          <t>COW012</t>
        </is>
      </c>
      <c r="C335" s="14" t="inlineStr">
        <is>
          <t>RFID100012</t>
        </is>
      </c>
      <c r="D335" s="14" t="inlineStr">
        <is>
          <t>2024-01-04</t>
        </is>
      </c>
      <c r="E335" s="14" t="inlineStr">
        <is>
          <t>08:00</t>
        </is>
      </c>
      <c r="F335" s="14" t="n">
        <v>6.91</v>
      </c>
      <c r="G335" s="14" t="n">
        <v>5.88</v>
      </c>
      <c r="H335" s="14" t="n">
        <v>6.41</v>
      </c>
      <c r="I335" s="15">
        <f>F335+G335+H335</f>
        <v/>
      </c>
      <c r="J335" s="15">
        <f>ROUND((I335-18.6)/18.6*100,2)</f>
        <v/>
      </c>
      <c r="K335" s="15" t="inlineStr">
        <is>
          <t>Normal</t>
        </is>
      </c>
    </row>
    <row r="336" ht="15" customHeight="1" s="11">
      <c r="A336" s="13" t="n">
        <v>335</v>
      </c>
      <c r="B336" s="13" t="inlineStr">
        <is>
          <t>COW012</t>
        </is>
      </c>
      <c r="C336" s="13" t="inlineStr">
        <is>
          <t>RFID100012</t>
        </is>
      </c>
      <c r="D336" s="13" t="inlineStr">
        <is>
          <t>2024-01-05</t>
        </is>
      </c>
      <c r="E336" s="13" t="inlineStr">
        <is>
          <t>08:00</t>
        </is>
      </c>
      <c r="F336" s="13" t="n">
        <v>6.55</v>
      </c>
      <c r="G336" s="13" t="n">
        <v>5.69</v>
      </c>
      <c r="H336" s="13" t="n">
        <v>5.92</v>
      </c>
      <c r="I336" s="15">
        <f>F336+G336+H336</f>
        <v/>
      </c>
      <c r="J336" s="15">
        <f>ROUND((I336-18.6)/18.6*100,2)</f>
        <v/>
      </c>
      <c r="K336" s="15" t="inlineStr">
        <is>
          <t>Normal</t>
        </is>
      </c>
    </row>
    <row r="337" ht="15" customHeight="1" s="11">
      <c r="A337" s="14" t="n">
        <v>336</v>
      </c>
      <c r="B337" s="14" t="inlineStr">
        <is>
          <t>COW012</t>
        </is>
      </c>
      <c r="C337" s="14" t="inlineStr">
        <is>
          <t>RFID100012</t>
        </is>
      </c>
      <c r="D337" s="14" t="inlineStr">
        <is>
          <t>2024-01-06</t>
        </is>
      </c>
      <c r="E337" s="14" t="inlineStr">
        <is>
          <t>08:00</t>
        </is>
      </c>
      <c r="F337" s="14" t="n">
        <v>5.8</v>
      </c>
      <c r="G337" s="14" t="n">
        <v>5.3</v>
      </c>
      <c r="H337" s="14" t="n">
        <v>5.36</v>
      </c>
      <c r="I337" s="15">
        <f>F337+G337+H337</f>
        <v/>
      </c>
      <c r="J337" s="15">
        <f>ROUND((I337-18.6)/18.6*100,2)</f>
        <v/>
      </c>
      <c r="K337" s="15" t="inlineStr">
        <is>
          <t>Low intake</t>
        </is>
      </c>
    </row>
    <row r="338" ht="15" customHeight="1" s="11">
      <c r="A338" s="13" t="n">
        <v>337</v>
      </c>
      <c r="B338" s="13" t="inlineStr">
        <is>
          <t>COW012</t>
        </is>
      </c>
      <c r="C338" s="13" t="inlineStr">
        <is>
          <t>RFID100012</t>
        </is>
      </c>
      <c r="D338" s="13" t="inlineStr">
        <is>
          <t>2024-01-07</t>
        </is>
      </c>
      <c r="E338" s="13" t="inlineStr">
        <is>
          <t>08:00</t>
        </is>
      </c>
      <c r="F338" s="13" t="n">
        <v>6.92</v>
      </c>
      <c r="G338" s="13" t="n">
        <v>5.72</v>
      </c>
      <c r="H338" s="13" t="n">
        <v>6.27</v>
      </c>
      <c r="I338" s="15">
        <f>F338+G338+H338</f>
        <v/>
      </c>
      <c r="J338" s="15">
        <f>ROUND((I338-18.6)/18.6*100,2)</f>
        <v/>
      </c>
      <c r="K338" s="15" t="inlineStr">
        <is>
          <t>Normal</t>
        </is>
      </c>
    </row>
    <row r="339" ht="15" customHeight="1" s="11">
      <c r="A339" s="14" t="n">
        <v>338</v>
      </c>
      <c r="B339" s="14" t="inlineStr">
        <is>
          <t>COW012</t>
        </is>
      </c>
      <c r="C339" s="14" t="inlineStr">
        <is>
          <t>RFID100012</t>
        </is>
      </c>
      <c r="D339" s="14" t="inlineStr">
        <is>
          <t>2024-01-08</t>
        </is>
      </c>
      <c r="E339" s="14" t="inlineStr">
        <is>
          <t>08:00</t>
        </is>
      </c>
      <c r="F339" s="14" t="n">
        <v>6.33</v>
      </c>
      <c r="G339" s="14" t="n">
        <v>5.46</v>
      </c>
      <c r="H339" s="14" t="n">
        <v>5.58</v>
      </c>
      <c r="I339" s="15">
        <f>F339+G339+H339</f>
        <v/>
      </c>
      <c r="J339" s="15">
        <f>ROUND((I339-18.6)/18.6*100,2)</f>
        <v/>
      </c>
      <c r="K339" s="15" t="inlineStr">
        <is>
          <t>Normal</t>
        </is>
      </c>
    </row>
    <row r="340" ht="15" customHeight="1" s="11">
      <c r="A340" s="13" t="n">
        <v>339</v>
      </c>
      <c r="B340" s="13" t="inlineStr">
        <is>
          <t>COW012</t>
        </is>
      </c>
      <c r="C340" s="13" t="inlineStr">
        <is>
          <t>RFID100012</t>
        </is>
      </c>
      <c r="D340" s="13" t="inlineStr">
        <is>
          <t>2024-01-09</t>
        </is>
      </c>
      <c r="E340" s="13" t="inlineStr">
        <is>
          <t>08:00</t>
        </is>
      </c>
      <c r="F340" s="13" t="n">
        <v>6.23</v>
      </c>
      <c r="G340" s="13" t="n">
        <v>5.86</v>
      </c>
      <c r="H340" s="13" t="n">
        <v>5.99</v>
      </c>
      <c r="I340" s="15">
        <f>F340+G340+H340</f>
        <v/>
      </c>
      <c r="J340" s="15">
        <f>ROUND((I340-18.6)/18.6*100,2)</f>
        <v/>
      </c>
      <c r="K340" s="15" t="inlineStr">
        <is>
          <t>Normal</t>
        </is>
      </c>
    </row>
    <row r="341" ht="15" customHeight="1" s="11">
      <c r="A341" s="14" t="n">
        <v>340</v>
      </c>
      <c r="B341" s="14" t="inlineStr">
        <is>
          <t>COW012</t>
        </is>
      </c>
      <c r="C341" s="14" t="inlineStr">
        <is>
          <t>RFID100012</t>
        </is>
      </c>
      <c r="D341" s="14" t="inlineStr">
        <is>
          <t>2024-01-10</t>
        </is>
      </c>
      <c r="E341" s="14" t="inlineStr">
        <is>
          <t>08:00</t>
        </is>
      </c>
      <c r="F341" s="14" t="n">
        <v>5.82</v>
      </c>
      <c r="G341" s="14" t="n">
        <v>5.76</v>
      </c>
      <c r="H341" s="14" t="n">
        <v>5.63</v>
      </c>
      <c r="I341" s="15">
        <f>F341+G341+H341</f>
        <v/>
      </c>
      <c r="J341" s="15">
        <f>ROUND((I341-18.6)/18.6*100,2)</f>
        <v/>
      </c>
      <c r="K341" s="15" t="inlineStr">
        <is>
          <t>Normal</t>
        </is>
      </c>
    </row>
    <row r="342" ht="15" customHeight="1" s="11">
      <c r="A342" s="13" t="n">
        <v>341</v>
      </c>
      <c r="B342" s="13" t="inlineStr">
        <is>
          <t>COW012</t>
        </is>
      </c>
      <c r="C342" s="13" t="inlineStr">
        <is>
          <t>RFID100012</t>
        </is>
      </c>
      <c r="D342" s="13" t="inlineStr">
        <is>
          <t>2024-01-11</t>
        </is>
      </c>
      <c r="E342" s="13" t="inlineStr">
        <is>
          <t>08:00</t>
        </is>
      </c>
      <c r="F342" s="13" t="n">
        <v>6.19</v>
      </c>
      <c r="G342" s="13" t="n">
        <v>5.71</v>
      </c>
      <c r="H342" s="13" t="n">
        <v>6.1</v>
      </c>
      <c r="I342" s="15">
        <f>F342+G342+H342</f>
        <v/>
      </c>
      <c r="J342" s="15">
        <f>ROUND((I342-18.6)/18.6*100,2)</f>
        <v/>
      </c>
      <c r="K342" s="15" t="inlineStr">
        <is>
          <t>Normal</t>
        </is>
      </c>
    </row>
    <row r="343" ht="15" customHeight="1" s="11">
      <c r="A343" s="14" t="n">
        <v>342</v>
      </c>
      <c r="B343" s="14" t="inlineStr">
        <is>
          <t>COW012</t>
        </is>
      </c>
      <c r="C343" s="14" t="inlineStr">
        <is>
          <t>RFID100012</t>
        </is>
      </c>
      <c r="D343" s="14" t="inlineStr">
        <is>
          <t>2024-01-12</t>
        </is>
      </c>
      <c r="E343" s="14" t="inlineStr">
        <is>
          <t>08:00</t>
        </is>
      </c>
      <c r="F343" s="14" t="n">
        <v>6.75</v>
      </c>
      <c r="G343" s="14" t="n">
        <v>6.17</v>
      </c>
      <c r="H343" s="14" t="n">
        <v>5.31</v>
      </c>
      <c r="I343" s="15">
        <f>F343+G343+H343</f>
        <v/>
      </c>
      <c r="J343" s="15">
        <f>ROUND((I343-18.6)/18.6*100,2)</f>
        <v/>
      </c>
      <c r="K343" s="15" t="inlineStr">
        <is>
          <t>Normal</t>
        </is>
      </c>
    </row>
    <row r="344" ht="15" customHeight="1" s="11">
      <c r="A344" s="13" t="n">
        <v>343</v>
      </c>
      <c r="B344" s="13" t="inlineStr">
        <is>
          <t>COW012</t>
        </is>
      </c>
      <c r="C344" s="13" t="inlineStr">
        <is>
          <t>RFID100012</t>
        </is>
      </c>
      <c r="D344" s="13" t="inlineStr">
        <is>
          <t>2024-01-13</t>
        </is>
      </c>
      <c r="E344" s="13" t="inlineStr">
        <is>
          <t>08:00</t>
        </is>
      </c>
      <c r="F344" s="13" t="n">
        <v>5.72</v>
      </c>
      <c r="G344" s="13" t="n">
        <v>6.22</v>
      </c>
      <c r="H344" s="13" t="n">
        <v>5.63</v>
      </c>
      <c r="I344" s="15">
        <f>F344+G344+H344</f>
        <v/>
      </c>
      <c r="J344" s="15">
        <f>ROUND((I344-18.6)/18.6*100,2)</f>
        <v/>
      </c>
      <c r="K344" s="15" t="inlineStr">
        <is>
          <t>Normal</t>
        </is>
      </c>
    </row>
    <row r="345" ht="15" customHeight="1" s="11">
      <c r="A345" s="14" t="n">
        <v>344</v>
      </c>
      <c r="B345" s="14" t="inlineStr">
        <is>
          <t>COW012</t>
        </is>
      </c>
      <c r="C345" s="14" t="inlineStr">
        <is>
          <t>RFID100012</t>
        </is>
      </c>
      <c r="D345" s="14" t="inlineStr">
        <is>
          <t>2024-01-14</t>
        </is>
      </c>
      <c r="E345" s="14" t="inlineStr">
        <is>
          <t>08:00</t>
        </is>
      </c>
      <c r="F345" s="14" t="n">
        <v>6.66</v>
      </c>
      <c r="G345" s="14" t="n">
        <v>6.18</v>
      </c>
      <c r="H345" s="14" t="n">
        <v>6.56</v>
      </c>
      <c r="I345" s="15">
        <f>F345+G345+H345</f>
        <v/>
      </c>
      <c r="J345" s="15">
        <f>ROUND((I345-18.6)/18.6*100,2)</f>
        <v/>
      </c>
      <c r="K345" s="15" t="inlineStr">
        <is>
          <t>Normal</t>
        </is>
      </c>
    </row>
    <row r="346" ht="15" customHeight="1" s="11">
      <c r="A346" s="13" t="n">
        <v>345</v>
      </c>
      <c r="B346" s="13" t="inlineStr">
        <is>
          <t>COW012</t>
        </is>
      </c>
      <c r="C346" s="13" t="inlineStr">
        <is>
          <t>RFID100012</t>
        </is>
      </c>
      <c r="D346" s="13" t="inlineStr">
        <is>
          <t>2024-01-15</t>
        </is>
      </c>
      <c r="E346" s="13" t="inlineStr">
        <is>
          <t>08:00</t>
        </is>
      </c>
      <c r="F346" s="13" t="n">
        <v>6.88</v>
      </c>
      <c r="G346" s="13" t="n">
        <v>5.7</v>
      </c>
      <c r="H346" s="13" t="n">
        <v>6.08</v>
      </c>
      <c r="I346" s="15">
        <f>F346+G346+H346</f>
        <v/>
      </c>
      <c r="J346" s="15">
        <f>ROUND((I346-18.6)/18.6*100,2)</f>
        <v/>
      </c>
      <c r="K346" s="15" t="inlineStr">
        <is>
          <t>Normal</t>
        </is>
      </c>
    </row>
    <row r="347" ht="15" customHeight="1" s="11">
      <c r="A347" s="14" t="n">
        <v>346</v>
      </c>
      <c r="B347" s="14" t="inlineStr">
        <is>
          <t>COW012</t>
        </is>
      </c>
      <c r="C347" s="14" t="inlineStr">
        <is>
          <t>RFID100012</t>
        </is>
      </c>
      <c r="D347" s="14" t="inlineStr">
        <is>
          <t>2024-01-16</t>
        </is>
      </c>
      <c r="E347" s="14" t="inlineStr">
        <is>
          <t>08:00</t>
        </is>
      </c>
      <c r="F347" s="14" t="n">
        <v>5.79</v>
      </c>
      <c r="G347" s="14" t="n">
        <v>5.73</v>
      </c>
      <c r="H347" s="14" t="n">
        <v>6.65</v>
      </c>
      <c r="I347" s="15">
        <f>F347+G347+H347</f>
        <v/>
      </c>
      <c r="J347" s="15">
        <f>ROUND((I347-18.6)/18.6*100,2)</f>
        <v/>
      </c>
      <c r="K347" s="15" t="inlineStr">
        <is>
          <t>Normal</t>
        </is>
      </c>
    </row>
    <row r="348" ht="15" customHeight="1" s="11">
      <c r="A348" s="13" t="n">
        <v>347</v>
      </c>
      <c r="B348" s="13" t="inlineStr">
        <is>
          <t>COW012</t>
        </is>
      </c>
      <c r="C348" s="13" t="inlineStr">
        <is>
          <t>RFID100012</t>
        </is>
      </c>
      <c r="D348" s="13" t="inlineStr">
        <is>
          <t>2024-01-17</t>
        </is>
      </c>
      <c r="E348" s="13" t="inlineStr">
        <is>
          <t>08:00</t>
        </is>
      </c>
      <c r="F348" s="13" t="n">
        <v>6.62</v>
      </c>
      <c r="G348" s="13" t="n">
        <v>5.79</v>
      </c>
      <c r="H348" s="13" t="n">
        <v>6.09</v>
      </c>
      <c r="I348" s="15">
        <f>F348+G348+H348</f>
        <v/>
      </c>
      <c r="J348" s="15">
        <f>ROUND((I348-18.6)/18.6*100,2)</f>
        <v/>
      </c>
      <c r="K348" s="15" t="inlineStr">
        <is>
          <t>Normal</t>
        </is>
      </c>
    </row>
    <row r="349" ht="15" customHeight="1" s="11">
      <c r="A349" s="14" t="n">
        <v>348</v>
      </c>
      <c r="B349" s="14" t="inlineStr">
        <is>
          <t>COW012</t>
        </is>
      </c>
      <c r="C349" s="14" t="inlineStr">
        <is>
          <t>RFID100012</t>
        </is>
      </c>
      <c r="D349" s="14" t="inlineStr">
        <is>
          <t>2024-01-18</t>
        </is>
      </c>
      <c r="E349" s="14" t="inlineStr">
        <is>
          <t>08:00</t>
        </is>
      </c>
      <c r="F349" s="14" t="n">
        <v>6.98</v>
      </c>
      <c r="G349" s="14" t="n">
        <v>5.67</v>
      </c>
      <c r="H349" s="14" t="n">
        <v>5.77</v>
      </c>
      <c r="I349" s="15">
        <f>F349+G349+H349</f>
        <v/>
      </c>
      <c r="J349" s="15">
        <f>ROUND((I349-18.6)/18.6*100,2)</f>
        <v/>
      </c>
      <c r="K349" s="15" t="inlineStr">
        <is>
          <t>Normal</t>
        </is>
      </c>
    </row>
    <row r="350" ht="15" customHeight="1" s="11">
      <c r="A350" s="13" t="n">
        <v>349</v>
      </c>
      <c r="B350" s="13" t="inlineStr">
        <is>
          <t>COW012</t>
        </is>
      </c>
      <c r="C350" s="13" t="inlineStr">
        <is>
          <t>RFID100012</t>
        </is>
      </c>
      <c r="D350" s="13" t="inlineStr">
        <is>
          <t>2024-01-19</t>
        </is>
      </c>
      <c r="E350" s="13" t="inlineStr">
        <is>
          <t>08:00</t>
        </is>
      </c>
      <c r="F350" s="13" t="n">
        <v>6.76</v>
      </c>
      <c r="G350" s="13" t="n">
        <v>6.42</v>
      </c>
      <c r="H350" s="13" t="n">
        <v>6.21</v>
      </c>
      <c r="I350" s="15">
        <f>F350+G350+H350</f>
        <v/>
      </c>
      <c r="J350" s="15">
        <f>ROUND((I350-18.6)/18.6*100,2)</f>
        <v/>
      </c>
      <c r="K350" s="15" t="inlineStr">
        <is>
          <t>Normal</t>
        </is>
      </c>
    </row>
    <row r="351" ht="15" customHeight="1" s="11">
      <c r="A351" s="14" t="n">
        <v>350</v>
      </c>
      <c r="B351" s="14" t="inlineStr">
        <is>
          <t>COW012</t>
        </is>
      </c>
      <c r="C351" s="14" t="inlineStr">
        <is>
          <t>RFID100012</t>
        </is>
      </c>
      <c r="D351" s="14" t="inlineStr">
        <is>
          <t>2024-01-20</t>
        </is>
      </c>
      <c r="E351" s="14" t="inlineStr">
        <is>
          <t>08:00</t>
        </is>
      </c>
      <c r="F351" s="14" t="n">
        <v>6.81</v>
      </c>
      <c r="G351" s="14" t="n">
        <v>6.31</v>
      </c>
      <c r="H351" s="14" t="n">
        <v>6.23</v>
      </c>
      <c r="I351" s="15">
        <f>F351+G351+H351</f>
        <v/>
      </c>
      <c r="J351" s="15">
        <f>ROUND((I351-18.6)/18.6*100,2)</f>
        <v/>
      </c>
      <c r="K351" s="15" t="inlineStr">
        <is>
          <t>Normal</t>
        </is>
      </c>
    </row>
    <row r="352" ht="15" customHeight="1" s="11">
      <c r="A352" s="13" t="n">
        <v>351</v>
      </c>
      <c r="B352" s="13" t="inlineStr">
        <is>
          <t>COW012</t>
        </is>
      </c>
      <c r="C352" s="13" t="inlineStr">
        <is>
          <t>RFID100012</t>
        </is>
      </c>
      <c r="D352" s="13" t="inlineStr">
        <is>
          <t>2024-01-21</t>
        </is>
      </c>
      <c r="E352" s="13" t="inlineStr">
        <is>
          <t>08:00</t>
        </is>
      </c>
      <c r="F352" s="13" t="n">
        <v>6.36</v>
      </c>
      <c r="G352" s="13" t="n">
        <v>6.17</v>
      </c>
      <c r="H352" s="13" t="n">
        <v>5.84</v>
      </c>
      <c r="I352" s="15">
        <f>F352+G352+H352</f>
        <v/>
      </c>
      <c r="J352" s="15">
        <f>ROUND((I352-18.6)/18.6*100,2)</f>
        <v/>
      </c>
      <c r="K352" s="15" t="inlineStr">
        <is>
          <t>Normal</t>
        </is>
      </c>
    </row>
    <row r="353" ht="15" customHeight="1" s="11">
      <c r="A353" s="14" t="n">
        <v>352</v>
      </c>
      <c r="B353" s="14" t="inlineStr">
        <is>
          <t>COW012</t>
        </is>
      </c>
      <c r="C353" s="14" t="inlineStr">
        <is>
          <t>RFID100012</t>
        </is>
      </c>
      <c r="D353" s="14" t="inlineStr">
        <is>
          <t>2024-01-22</t>
        </is>
      </c>
      <c r="E353" s="14" t="inlineStr">
        <is>
          <t>08:00</t>
        </is>
      </c>
      <c r="F353" s="14" t="n">
        <v>6.12</v>
      </c>
      <c r="G353" s="14" t="n">
        <v>5.75</v>
      </c>
      <c r="H353" s="14" t="n">
        <v>5.48</v>
      </c>
      <c r="I353" s="15">
        <f>F353+G353+H353</f>
        <v/>
      </c>
      <c r="J353" s="15">
        <f>ROUND((I353-18.6)/18.6*100,2)</f>
        <v/>
      </c>
      <c r="K353" s="15" t="inlineStr">
        <is>
          <t>Normal</t>
        </is>
      </c>
    </row>
    <row r="354" ht="15" customHeight="1" s="11">
      <c r="A354" s="13" t="n">
        <v>353</v>
      </c>
      <c r="B354" s="13" t="inlineStr">
        <is>
          <t>COW012</t>
        </is>
      </c>
      <c r="C354" s="13" t="inlineStr">
        <is>
          <t>RFID100012</t>
        </is>
      </c>
      <c r="D354" s="13" t="inlineStr">
        <is>
          <t>2024-01-23</t>
        </is>
      </c>
      <c r="E354" s="13" t="inlineStr">
        <is>
          <t>08:00</t>
        </is>
      </c>
      <c r="F354" s="13" t="n">
        <v>5.9</v>
      </c>
      <c r="G354" s="13" t="n">
        <v>6.62</v>
      </c>
      <c r="H354" s="13" t="n">
        <v>5.93</v>
      </c>
      <c r="I354" s="15">
        <f>F354+G354+H354</f>
        <v/>
      </c>
      <c r="J354" s="15">
        <f>ROUND((I354-18.6)/18.6*100,2)</f>
        <v/>
      </c>
      <c r="K354" s="15" t="inlineStr">
        <is>
          <t>Normal</t>
        </is>
      </c>
    </row>
    <row r="355" ht="15" customHeight="1" s="11">
      <c r="A355" s="14" t="n">
        <v>354</v>
      </c>
      <c r="B355" s="14" t="inlineStr">
        <is>
          <t>COW012</t>
        </is>
      </c>
      <c r="C355" s="14" t="inlineStr">
        <is>
          <t>RFID100012</t>
        </is>
      </c>
      <c r="D355" s="14" t="inlineStr">
        <is>
          <t>2024-01-24</t>
        </is>
      </c>
      <c r="E355" s="14" t="inlineStr">
        <is>
          <t>08:00</t>
        </is>
      </c>
      <c r="F355" s="14" t="n">
        <v>5.92</v>
      </c>
      <c r="G355" s="14" t="n">
        <v>5.41</v>
      </c>
      <c r="H355" s="14" t="n">
        <v>5.32</v>
      </c>
      <c r="I355" s="15">
        <f>F355+G355+H355</f>
        <v/>
      </c>
      <c r="J355" s="15">
        <f>ROUND((I355-18.6)/18.6*100,2)</f>
        <v/>
      </c>
      <c r="K355" s="15" t="inlineStr">
        <is>
          <t>Normal</t>
        </is>
      </c>
    </row>
    <row r="356" ht="15" customHeight="1" s="11">
      <c r="A356" s="13" t="n">
        <v>355</v>
      </c>
      <c r="B356" s="13" t="inlineStr">
        <is>
          <t>COW012</t>
        </is>
      </c>
      <c r="C356" s="13" t="inlineStr">
        <is>
          <t>RFID100012</t>
        </is>
      </c>
      <c r="D356" s="13" t="inlineStr">
        <is>
          <t>2024-01-25</t>
        </is>
      </c>
      <c r="E356" s="13" t="inlineStr">
        <is>
          <t>08:00</t>
        </is>
      </c>
      <c r="F356" s="13" t="n">
        <v>6.84</v>
      </c>
      <c r="G356" s="13" t="n">
        <v>5.36</v>
      </c>
      <c r="H356" s="13" t="n">
        <v>6.36</v>
      </c>
      <c r="I356" s="15">
        <f>F356+G356+H356</f>
        <v/>
      </c>
      <c r="J356" s="15">
        <f>ROUND((I356-18.6)/18.6*100,2)</f>
        <v/>
      </c>
      <c r="K356" s="15" t="inlineStr">
        <is>
          <t>Normal</t>
        </is>
      </c>
    </row>
    <row r="357" ht="15" customHeight="1" s="11">
      <c r="A357" s="14" t="n">
        <v>356</v>
      </c>
      <c r="B357" s="14" t="inlineStr">
        <is>
          <t>COW012</t>
        </is>
      </c>
      <c r="C357" s="14" t="inlineStr">
        <is>
          <t>RFID100012</t>
        </is>
      </c>
      <c r="D357" s="14" t="inlineStr">
        <is>
          <t>2024-01-26</t>
        </is>
      </c>
      <c r="E357" s="14" t="inlineStr">
        <is>
          <t>08:00</t>
        </is>
      </c>
      <c r="F357" s="14" t="n">
        <v>6.82</v>
      </c>
      <c r="G357" s="14" t="n">
        <v>6.52</v>
      </c>
      <c r="H357" s="14" t="n">
        <v>5.26</v>
      </c>
      <c r="I357" s="15">
        <f>F357+G357+H357</f>
        <v/>
      </c>
      <c r="J357" s="15">
        <f>ROUND((I357-18.6)/18.6*100,2)</f>
        <v/>
      </c>
      <c r="K357" s="15" t="inlineStr">
        <is>
          <t>Normal</t>
        </is>
      </c>
    </row>
    <row r="358" ht="15" customHeight="1" s="11">
      <c r="A358" s="13" t="n">
        <v>357</v>
      </c>
      <c r="B358" s="13" t="inlineStr">
        <is>
          <t>COW012</t>
        </is>
      </c>
      <c r="C358" s="13" t="inlineStr">
        <is>
          <t>RFID100012</t>
        </is>
      </c>
      <c r="D358" s="13" t="inlineStr">
        <is>
          <t>2024-01-27</t>
        </is>
      </c>
      <c r="E358" s="13" t="inlineStr">
        <is>
          <t>08:00</t>
        </is>
      </c>
      <c r="F358" s="13" t="n">
        <v>6.08</v>
      </c>
      <c r="G358" s="13" t="n">
        <v>6.35</v>
      </c>
      <c r="H358" s="13" t="n">
        <v>5.4</v>
      </c>
      <c r="I358" s="15">
        <f>F358+G358+H358</f>
        <v/>
      </c>
      <c r="J358" s="15">
        <f>ROUND((I358-18.6)/18.6*100,2)</f>
        <v/>
      </c>
      <c r="K358" s="15" t="inlineStr">
        <is>
          <t>Normal</t>
        </is>
      </c>
    </row>
    <row r="359" ht="15" customHeight="1" s="11">
      <c r="A359" s="14" t="n">
        <v>358</v>
      </c>
      <c r="B359" s="14" t="inlineStr">
        <is>
          <t>COW012</t>
        </is>
      </c>
      <c r="C359" s="14" t="inlineStr">
        <is>
          <t>RFID100012</t>
        </is>
      </c>
      <c r="D359" s="14" t="inlineStr">
        <is>
          <t>2024-01-28</t>
        </is>
      </c>
      <c r="E359" s="14" t="inlineStr">
        <is>
          <t>08:00</t>
        </is>
      </c>
      <c r="F359" s="14" t="n">
        <v>6.14</v>
      </c>
      <c r="G359" s="14" t="n">
        <v>5.45</v>
      </c>
      <c r="H359" s="14" t="n">
        <v>6.45</v>
      </c>
      <c r="I359" s="15">
        <f>F359+G359+H359</f>
        <v/>
      </c>
      <c r="J359" s="15">
        <f>ROUND((I359-18.6)/18.6*100,2)</f>
        <v/>
      </c>
      <c r="K359" s="15" t="inlineStr">
        <is>
          <t>Normal</t>
        </is>
      </c>
    </row>
    <row r="360" ht="15" customHeight="1" s="11">
      <c r="A360" s="13" t="n">
        <v>359</v>
      </c>
      <c r="B360" s="13" t="inlineStr">
        <is>
          <t>COW012</t>
        </is>
      </c>
      <c r="C360" s="13" t="inlineStr">
        <is>
          <t>RFID100012</t>
        </is>
      </c>
      <c r="D360" s="13" t="inlineStr">
        <is>
          <t>2024-01-29</t>
        </is>
      </c>
      <c r="E360" s="13" t="inlineStr">
        <is>
          <t>08:00</t>
        </is>
      </c>
      <c r="F360" s="13" t="n">
        <v>6.73</v>
      </c>
      <c r="G360" s="13" t="n">
        <v>6.41</v>
      </c>
      <c r="H360" s="13" t="n">
        <v>5.45</v>
      </c>
      <c r="I360" s="15">
        <f>F360+G360+H360</f>
        <v/>
      </c>
      <c r="J360" s="15">
        <f>ROUND((I360-18.6)/18.6*100,2)</f>
        <v/>
      </c>
      <c r="K360" s="15" t="inlineStr">
        <is>
          <t>Normal</t>
        </is>
      </c>
    </row>
    <row r="361" ht="15" customHeight="1" s="11">
      <c r="A361" s="14" t="n">
        <v>360</v>
      </c>
      <c r="B361" s="14" t="inlineStr">
        <is>
          <t>COW012</t>
        </is>
      </c>
      <c r="C361" s="14" t="inlineStr">
        <is>
          <t>RFID100012</t>
        </is>
      </c>
      <c r="D361" s="14" t="inlineStr">
        <is>
          <t>2024-01-30</t>
        </is>
      </c>
      <c r="E361" s="14" t="inlineStr">
        <is>
          <t>08:00</t>
        </is>
      </c>
      <c r="F361" s="14" t="n">
        <v>6.23</v>
      </c>
      <c r="G361" s="14" t="n">
        <v>5.82</v>
      </c>
      <c r="H361" s="14" t="n">
        <v>6.21</v>
      </c>
      <c r="I361" s="15">
        <f>F361+G361+H361</f>
        <v/>
      </c>
      <c r="J361" s="15">
        <f>ROUND((I361-18.6)/18.6*100,2)</f>
        <v/>
      </c>
      <c r="K361" s="15" t="inlineStr">
        <is>
          <t>Normal</t>
        </is>
      </c>
    </row>
    <row r="362" ht="15" customHeight="1" s="11">
      <c r="A362" s="13" t="n">
        <v>361</v>
      </c>
      <c r="B362" s="13" t="inlineStr">
        <is>
          <t>COW013</t>
        </is>
      </c>
      <c r="C362" s="13" t="inlineStr">
        <is>
          <t>RFID100013</t>
        </is>
      </c>
      <c r="D362" s="13" t="inlineStr">
        <is>
          <t>2024-01-01</t>
        </is>
      </c>
      <c r="E362" s="13" t="inlineStr">
        <is>
          <t>08:00</t>
        </is>
      </c>
      <c r="F362" s="13" t="n">
        <v>6.84</v>
      </c>
      <c r="G362" s="13" t="n">
        <v>6.18</v>
      </c>
      <c r="H362" s="13" t="n">
        <v>6.93</v>
      </c>
      <c r="I362" s="15">
        <f>F362+G362+H362</f>
        <v/>
      </c>
      <c r="J362" s="15">
        <f>ROUND((I362-20.4)/20.4*100,2)</f>
        <v/>
      </c>
      <c r="K362" s="15" t="inlineStr">
        <is>
          <t>Normal</t>
        </is>
      </c>
    </row>
    <row r="363" ht="15" customHeight="1" s="11">
      <c r="A363" s="14" t="n">
        <v>362</v>
      </c>
      <c r="B363" s="14" t="inlineStr">
        <is>
          <t>COW013</t>
        </is>
      </c>
      <c r="C363" s="14" t="inlineStr">
        <is>
          <t>RFID100013</t>
        </is>
      </c>
      <c r="D363" s="14" t="inlineStr">
        <is>
          <t>2024-01-02</t>
        </is>
      </c>
      <c r="E363" s="14" t="inlineStr">
        <is>
          <t>08:00</t>
        </is>
      </c>
      <c r="F363" s="14" t="n">
        <v>6.85</v>
      </c>
      <c r="G363" s="14" t="n">
        <v>6.58</v>
      </c>
      <c r="H363" s="14" t="n">
        <v>6.22</v>
      </c>
      <c r="I363" s="15">
        <f>F363+G363+H363</f>
        <v/>
      </c>
      <c r="J363" s="15">
        <f>ROUND((I363-20.4)/20.4*100,2)</f>
        <v/>
      </c>
      <c r="K363" s="15" t="inlineStr">
        <is>
          <t>Normal</t>
        </is>
      </c>
    </row>
    <row r="364" ht="15" customHeight="1" s="11">
      <c r="A364" s="13" t="n">
        <v>363</v>
      </c>
      <c r="B364" s="13" t="inlineStr">
        <is>
          <t>COW013</t>
        </is>
      </c>
      <c r="C364" s="13" t="inlineStr">
        <is>
          <t>RFID100013</t>
        </is>
      </c>
      <c r="D364" s="13" t="inlineStr">
        <is>
          <t>2024-01-03</t>
        </is>
      </c>
      <c r="E364" s="13" t="inlineStr">
        <is>
          <t>08:00</t>
        </is>
      </c>
      <c r="F364" s="13" t="n">
        <v>7.44</v>
      </c>
      <c r="G364" s="13" t="n">
        <v>6.48</v>
      </c>
      <c r="H364" s="13" t="n">
        <v>7.07</v>
      </c>
      <c r="I364" s="15">
        <f>F364+G364+H364</f>
        <v/>
      </c>
      <c r="J364" s="15">
        <f>ROUND((I364-20.4)/20.4*100,2)</f>
        <v/>
      </c>
      <c r="K364" s="15" t="inlineStr">
        <is>
          <t>Normal</t>
        </is>
      </c>
    </row>
    <row r="365" ht="15" customHeight="1" s="11">
      <c r="A365" s="14" t="n">
        <v>364</v>
      </c>
      <c r="B365" s="14" t="inlineStr">
        <is>
          <t>COW013</t>
        </is>
      </c>
      <c r="C365" s="14" t="inlineStr">
        <is>
          <t>RFID100013</t>
        </is>
      </c>
      <c r="D365" s="14" t="inlineStr">
        <is>
          <t>2024-01-04</t>
        </is>
      </c>
      <c r="E365" s="14" t="inlineStr">
        <is>
          <t>08:00</t>
        </is>
      </c>
      <c r="F365" s="14" t="n">
        <v>6.72</v>
      </c>
      <c r="G365" s="14" t="n">
        <v>7.26</v>
      </c>
      <c r="H365" s="14" t="n">
        <v>7.32</v>
      </c>
      <c r="I365" s="15">
        <f>F365+G365+H365</f>
        <v/>
      </c>
      <c r="J365" s="15">
        <f>ROUND((I365-20.4)/20.4*100,2)</f>
        <v/>
      </c>
      <c r="K365" s="15" t="inlineStr">
        <is>
          <t>Normal</t>
        </is>
      </c>
    </row>
    <row r="366" ht="15" customHeight="1" s="11">
      <c r="A366" s="13" t="n">
        <v>365</v>
      </c>
      <c r="B366" s="13" t="inlineStr">
        <is>
          <t>COW013</t>
        </is>
      </c>
      <c r="C366" s="13" t="inlineStr">
        <is>
          <t>RFID100013</t>
        </is>
      </c>
      <c r="D366" s="13" t="inlineStr">
        <is>
          <t>2024-01-05</t>
        </is>
      </c>
      <c r="E366" s="13" t="inlineStr">
        <is>
          <t>08:00</t>
        </is>
      </c>
      <c r="F366" s="13" t="n">
        <v>6.87</v>
      </c>
      <c r="G366" s="13" t="n">
        <v>6.17</v>
      </c>
      <c r="H366" s="13" t="n">
        <v>6.34</v>
      </c>
      <c r="I366" s="15">
        <f>F366+G366+H366</f>
        <v/>
      </c>
      <c r="J366" s="15">
        <f>ROUND((I366-20.4)/20.4*100,2)</f>
        <v/>
      </c>
      <c r="K366" s="15" t="inlineStr">
        <is>
          <t>Normal</t>
        </is>
      </c>
    </row>
    <row r="367" ht="15" customHeight="1" s="11">
      <c r="A367" s="14" t="n">
        <v>366</v>
      </c>
      <c r="B367" s="14" t="inlineStr">
        <is>
          <t>COW013</t>
        </is>
      </c>
      <c r="C367" s="14" t="inlineStr">
        <is>
          <t>RFID100013</t>
        </is>
      </c>
      <c r="D367" s="14" t="inlineStr">
        <is>
          <t>2024-01-06</t>
        </is>
      </c>
      <c r="E367" s="14" t="inlineStr">
        <is>
          <t>08:00</t>
        </is>
      </c>
      <c r="F367" s="14" t="n">
        <v>6.98</v>
      </c>
      <c r="G367" s="14" t="n">
        <v>7.29</v>
      </c>
      <c r="H367" s="14" t="n">
        <v>7.05</v>
      </c>
      <c r="I367" s="15">
        <f>F367+G367+H367</f>
        <v/>
      </c>
      <c r="J367" s="15">
        <f>ROUND((I367-20.4)/20.4*100,2)</f>
        <v/>
      </c>
      <c r="K367" s="15" t="inlineStr">
        <is>
          <t>Normal</t>
        </is>
      </c>
    </row>
    <row r="368" ht="15" customHeight="1" s="11">
      <c r="A368" s="13" t="n">
        <v>367</v>
      </c>
      <c r="B368" s="13" t="inlineStr">
        <is>
          <t>COW013</t>
        </is>
      </c>
      <c r="C368" s="13" t="inlineStr">
        <is>
          <t>RFID100013</t>
        </is>
      </c>
      <c r="D368" s="13" t="inlineStr">
        <is>
          <t>2024-01-07</t>
        </is>
      </c>
      <c r="E368" s="13" t="inlineStr">
        <is>
          <t>08:00</t>
        </is>
      </c>
      <c r="F368" s="13" t="n">
        <v>7.43</v>
      </c>
      <c r="G368" s="13" t="n">
        <v>5.94</v>
      </c>
      <c r="H368" s="13" t="n">
        <v>6.12</v>
      </c>
      <c r="I368" s="15">
        <f>F368+G368+H368</f>
        <v/>
      </c>
      <c r="J368" s="15">
        <f>ROUND((I368-20.4)/20.4*100,2)</f>
        <v/>
      </c>
      <c r="K368" s="15" t="inlineStr">
        <is>
          <t>Normal</t>
        </is>
      </c>
    </row>
    <row r="369" ht="15" customHeight="1" s="11">
      <c r="A369" s="14" t="n">
        <v>368</v>
      </c>
      <c r="B369" s="14" t="inlineStr">
        <is>
          <t>COW013</t>
        </is>
      </c>
      <c r="C369" s="14" t="inlineStr">
        <is>
          <t>RFID100013</t>
        </is>
      </c>
      <c r="D369" s="14" t="inlineStr">
        <is>
          <t>2024-01-08</t>
        </is>
      </c>
      <c r="E369" s="14" t="inlineStr">
        <is>
          <t>08:00</t>
        </is>
      </c>
      <c r="F369" s="14" t="n">
        <v>7.17</v>
      </c>
      <c r="G369" s="14" t="n">
        <v>7.14</v>
      </c>
      <c r="H369" s="14" t="n">
        <v>6.62</v>
      </c>
      <c r="I369" s="15">
        <f>F369+G369+H369</f>
        <v/>
      </c>
      <c r="J369" s="15">
        <f>ROUND((I369-20.4)/20.4*100,2)</f>
        <v/>
      </c>
      <c r="K369" s="15" t="inlineStr">
        <is>
          <t>Normal</t>
        </is>
      </c>
    </row>
    <row r="370" ht="15" customHeight="1" s="11">
      <c r="A370" s="13" t="n">
        <v>369</v>
      </c>
      <c r="B370" s="13" t="inlineStr">
        <is>
          <t>COW013</t>
        </is>
      </c>
      <c r="C370" s="13" t="inlineStr">
        <is>
          <t>RFID100013</t>
        </is>
      </c>
      <c r="D370" s="13" t="inlineStr">
        <is>
          <t>2024-01-09</t>
        </is>
      </c>
      <c r="E370" s="13" t="inlineStr">
        <is>
          <t>08:00</t>
        </is>
      </c>
      <c r="F370" s="13" t="n">
        <v>6.29</v>
      </c>
      <c r="G370" s="13" t="n">
        <v>7.09</v>
      </c>
      <c r="H370" s="13" t="n">
        <v>7.1</v>
      </c>
      <c r="I370" s="15">
        <f>F370+G370+H370</f>
        <v/>
      </c>
      <c r="J370" s="15">
        <f>ROUND((I370-20.4)/20.4*100,2)</f>
        <v/>
      </c>
      <c r="K370" s="15" t="inlineStr">
        <is>
          <t>Normal</t>
        </is>
      </c>
    </row>
    <row r="371" ht="15" customHeight="1" s="11">
      <c r="A371" s="14" t="n">
        <v>370</v>
      </c>
      <c r="B371" s="14" t="inlineStr">
        <is>
          <t>COW013</t>
        </is>
      </c>
      <c r="C371" s="14" t="inlineStr">
        <is>
          <t>RFID100013</t>
        </is>
      </c>
      <c r="D371" s="14" t="inlineStr">
        <is>
          <t>2024-01-10</t>
        </is>
      </c>
      <c r="E371" s="14" t="inlineStr">
        <is>
          <t>08:00</t>
        </is>
      </c>
      <c r="F371" s="14" t="n">
        <v>6.59</v>
      </c>
      <c r="G371" s="14" t="n">
        <v>6.96</v>
      </c>
      <c r="H371" s="14" t="n">
        <v>6.16</v>
      </c>
      <c r="I371" s="15">
        <f>F371+G371+H371</f>
        <v/>
      </c>
      <c r="J371" s="15">
        <f>ROUND((I371-20.4)/20.4*100,2)</f>
        <v/>
      </c>
      <c r="K371" s="15" t="inlineStr">
        <is>
          <t>Normal</t>
        </is>
      </c>
    </row>
    <row r="372" ht="15" customHeight="1" s="11">
      <c r="A372" s="13" t="n">
        <v>371</v>
      </c>
      <c r="B372" s="13" t="inlineStr">
        <is>
          <t>COW013</t>
        </is>
      </c>
      <c r="C372" s="13" t="inlineStr">
        <is>
          <t>RFID100013</t>
        </is>
      </c>
      <c r="D372" s="13" t="inlineStr">
        <is>
          <t>2024-01-11</t>
        </is>
      </c>
      <c r="E372" s="13" t="inlineStr">
        <is>
          <t>08:00</t>
        </is>
      </c>
      <c r="F372" s="13" t="n">
        <v>7.6</v>
      </c>
      <c r="G372" s="13" t="n">
        <v>5.95</v>
      </c>
      <c r="H372" s="13" t="n">
        <v>6.43</v>
      </c>
      <c r="I372" s="15">
        <f>F372+G372+H372</f>
        <v/>
      </c>
      <c r="J372" s="15">
        <f>ROUND((I372-20.4)/20.4*100,2)</f>
        <v/>
      </c>
      <c r="K372" s="15" t="inlineStr">
        <is>
          <t>Normal</t>
        </is>
      </c>
    </row>
    <row r="373" ht="15" customHeight="1" s="11">
      <c r="A373" s="14" t="n">
        <v>372</v>
      </c>
      <c r="B373" s="14" t="inlineStr">
        <is>
          <t>COW013</t>
        </is>
      </c>
      <c r="C373" s="14" t="inlineStr">
        <is>
          <t>RFID100013</t>
        </is>
      </c>
      <c r="D373" s="14" t="inlineStr">
        <is>
          <t>2024-01-12</t>
        </is>
      </c>
      <c r="E373" s="14" t="inlineStr">
        <is>
          <t>08:00</t>
        </is>
      </c>
      <c r="F373" s="14" t="n">
        <v>7.66</v>
      </c>
      <c r="G373" s="14" t="n">
        <v>6.07</v>
      </c>
      <c r="H373" s="14" t="n">
        <v>6.45</v>
      </c>
      <c r="I373" s="15">
        <f>F373+G373+H373</f>
        <v/>
      </c>
      <c r="J373" s="15">
        <f>ROUND((I373-20.4)/20.4*100,2)</f>
        <v/>
      </c>
      <c r="K373" s="15" t="inlineStr">
        <is>
          <t>Normal</t>
        </is>
      </c>
    </row>
    <row r="374" ht="15" customHeight="1" s="11">
      <c r="A374" s="13" t="n">
        <v>373</v>
      </c>
      <c r="B374" s="13" t="inlineStr">
        <is>
          <t>COW013</t>
        </is>
      </c>
      <c r="C374" s="13" t="inlineStr">
        <is>
          <t>RFID100013</t>
        </is>
      </c>
      <c r="D374" s="13" t="inlineStr">
        <is>
          <t>2024-01-13</t>
        </is>
      </c>
      <c r="E374" s="13" t="inlineStr">
        <is>
          <t>08:00</t>
        </is>
      </c>
      <c r="F374" s="13" t="n">
        <v>6.69</v>
      </c>
      <c r="G374" s="13" t="n">
        <v>5.76</v>
      </c>
      <c r="H374" s="13" t="n">
        <v>5.8</v>
      </c>
      <c r="I374" s="15">
        <f>F374+G374+H374</f>
        <v/>
      </c>
      <c r="J374" s="15">
        <f>ROUND((I374-20.4)/20.4*100,2)</f>
        <v/>
      </c>
      <c r="K374" s="15" t="inlineStr">
        <is>
          <t>Low intake</t>
        </is>
      </c>
    </row>
    <row r="375" ht="15" customHeight="1" s="11">
      <c r="A375" s="14" t="n">
        <v>374</v>
      </c>
      <c r="B375" s="14" t="inlineStr">
        <is>
          <t>COW013</t>
        </is>
      </c>
      <c r="C375" s="14" t="inlineStr">
        <is>
          <t>RFID100013</t>
        </is>
      </c>
      <c r="D375" s="14" t="inlineStr">
        <is>
          <t>2024-01-14</t>
        </is>
      </c>
      <c r="E375" s="14" t="inlineStr">
        <is>
          <t>08:00</t>
        </is>
      </c>
      <c r="F375" s="14" t="n">
        <v>6.94</v>
      </c>
      <c r="G375" s="14" t="n">
        <v>6.1</v>
      </c>
      <c r="H375" s="14" t="n">
        <v>7.34</v>
      </c>
      <c r="I375" s="15">
        <f>F375+G375+H375</f>
        <v/>
      </c>
      <c r="J375" s="15">
        <f>ROUND((I375-20.4)/20.4*100,2)</f>
        <v/>
      </c>
      <c r="K375" s="15" t="inlineStr">
        <is>
          <t>Normal</t>
        </is>
      </c>
    </row>
    <row r="376" ht="15" customHeight="1" s="11">
      <c r="A376" s="13" t="n">
        <v>375</v>
      </c>
      <c r="B376" s="13" t="inlineStr">
        <is>
          <t>COW013</t>
        </is>
      </c>
      <c r="C376" s="13" t="inlineStr">
        <is>
          <t>RFID100013</t>
        </is>
      </c>
      <c r="D376" s="13" t="inlineStr">
        <is>
          <t>2024-01-15</t>
        </is>
      </c>
      <c r="E376" s="13" t="inlineStr">
        <is>
          <t>08:00</t>
        </is>
      </c>
      <c r="F376" s="13" t="n">
        <v>6.73</v>
      </c>
      <c r="G376" s="13" t="n">
        <v>5.76</v>
      </c>
      <c r="H376" s="13" t="n">
        <v>7.23</v>
      </c>
      <c r="I376" s="15">
        <f>F376+G376+H376</f>
        <v/>
      </c>
      <c r="J376" s="15">
        <f>ROUND((I376-20.4)/20.4*100,2)</f>
        <v/>
      </c>
      <c r="K376" s="15" t="inlineStr">
        <is>
          <t>Normal</t>
        </is>
      </c>
    </row>
    <row r="377" ht="15" customHeight="1" s="11">
      <c r="A377" s="14" t="n">
        <v>376</v>
      </c>
      <c r="B377" s="14" t="inlineStr">
        <is>
          <t>COW013</t>
        </is>
      </c>
      <c r="C377" s="14" t="inlineStr">
        <is>
          <t>RFID100013</t>
        </is>
      </c>
      <c r="D377" s="14" t="inlineStr">
        <is>
          <t>2024-01-16</t>
        </is>
      </c>
      <c r="E377" s="14" t="inlineStr">
        <is>
          <t>08:00</t>
        </is>
      </c>
      <c r="F377" s="14" t="n">
        <v>7.49</v>
      </c>
      <c r="G377" s="14" t="n">
        <v>6.77</v>
      </c>
      <c r="H377" s="14" t="n">
        <v>7</v>
      </c>
      <c r="I377" s="15">
        <f>F377+G377+H377</f>
        <v/>
      </c>
      <c r="J377" s="15">
        <f>ROUND((I377-20.4)/20.4*100,2)</f>
        <v/>
      </c>
      <c r="K377" s="15" t="inlineStr">
        <is>
          <t>Normal</t>
        </is>
      </c>
    </row>
    <row r="378" ht="15" customHeight="1" s="11">
      <c r="A378" s="13" t="n">
        <v>377</v>
      </c>
      <c r="B378" s="13" t="inlineStr">
        <is>
          <t>COW013</t>
        </is>
      </c>
      <c r="C378" s="13" t="inlineStr">
        <is>
          <t>RFID100013</t>
        </is>
      </c>
      <c r="D378" s="13" t="inlineStr">
        <is>
          <t>2024-01-17</t>
        </is>
      </c>
      <c r="E378" s="13" t="inlineStr">
        <is>
          <t>08:00</t>
        </is>
      </c>
      <c r="F378" s="13" t="n">
        <v>6.34</v>
      </c>
      <c r="G378" s="13" t="n">
        <v>6.18</v>
      </c>
      <c r="H378" s="13" t="n">
        <v>7.07</v>
      </c>
      <c r="I378" s="15">
        <f>F378+G378+H378</f>
        <v/>
      </c>
      <c r="J378" s="15">
        <f>ROUND((I378-20.4)/20.4*100,2)</f>
        <v/>
      </c>
      <c r="K378" s="15" t="inlineStr">
        <is>
          <t>Normal</t>
        </is>
      </c>
    </row>
    <row r="379" ht="15" customHeight="1" s="11">
      <c r="A379" s="14" t="n">
        <v>378</v>
      </c>
      <c r="B379" s="14" t="inlineStr">
        <is>
          <t>COW013</t>
        </is>
      </c>
      <c r="C379" s="14" t="inlineStr">
        <is>
          <t>RFID100013</t>
        </is>
      </c>
      <c r="D379" s="14" t="inlineStr">
        <is>
          <t>2024-01-18</t>
        </is>
      </c>
      <c r="E379" s="14" t="inlineStr">
        <is>
          <t>08:00</t>
        </is>
      </c>
      <c r="F379" s="14" t="n">
        <v>7.26</v>
      </c>
      <c r="G379" s="14" t="n">
        <v>5.94</v>
      </c>
      <c r="H379" s="14" t="n">
        <v>6.86</v>
      </c>
      <c r="I379" s="15">
        <f>F379+G379+H379</f>
        <v/>
      </c>
      <c r="J379" s="15">
        <f>ROUND((I379-20.4)/20.4*100,2)</f>
        <v/>
      </c>
      <c r="K379" s="15" t="inlineStr">
        <is>
          <t>Normal</t>
        </is>
      </c>
    </row>
    <row r="380" ht="15" customHeight="1" s="11">
      <c r="A380" s="13" t="n">
        <v>379</v>
      </c>
      <c r="B380" s="13" t="inlineStr">
        <is>
          <t>COW013</t>
        </is>
      </c>
      <c r="C380" s="13" t="inlineStr">
        <is>
          <t>RFID100013</t>
        </is>
      </c>
      <c r="D380" s="13" t="inlineStr">
        <is>
          <t>2024-01-19</t>
        </is>
      </c>
      <c r="E380" s="13" t="inlineStr">
        <is>
          <t>08:00</t>
        </is>
      </c>
      <c r="F380" s="13" t="n">
        <v>6.85</v>
      </c>
      <c r="G380" s="13" t="n">
        <v>5.72</v>
      </c>
      <c r="H380" s="13" t="n">
        <v>5.84</v>
      </c>
      <c r="I380" s="15">
        <f>F380+G380+H380</f>
        <v/>
      </c>
      <c r="J380" s="15">
        <f>ROUND((I380-20.4)/20.4*100,2)</f>
        <v/>
      </c>
      <c r="K380" s="15" t="inlineStr">
        <is>
          <t>Normal</t>
        </is>
      </c>
    </row>
    <row r="381" ht="15" customHeight="1" s="11">
      <c r="A381" s="14" t="n">
        <v>380</v>
      </c>
      <c r="B381" s="14" t="inlineStr">
        <is>
          <t>COW013</t>
        </is>
      </c>
      <c r="C381" s="14" t="inlineStr">
        <is>
          <t>RFID100013</t>
        </is>
      </c>
      <c r="D381" s="14" t="inlineStr">
        <is>
          <t>2024-01-20</t>
        </is>
      </c>
      <c r="E381" s="14" t="inlineStr">
        <is>
          <t>08:00</t>
        </is>
      </c>
      <c r="F381" s="14" t="n">
        <v>6.54</v>
      </c>
      <c r="G381" s="14" t="n">
        <v>7.07</v>
      </c>
      <c r="H381" s="14" t="n">
        <v>6.61</v>
      </c>
      <c r="I381" s="15">
        <f>F381+G381+H381</f>
        <v/>
      </c>
      <c r="J381" s="15">
        <f>ROUND((I381-20.4)/20.4*100,2)</f>
        <v/>
      </c>
      <c r="K381" s="15" t="inlineStr">
        <is>
          <t>Normal</t>
        </is>
      </c>
    </row>
    <row r="382" ht="15" customHeight="1" s="11">
      <c r="A382" s="13" t="n">
        <v>381</v>
      </c>
      <c r="B382" s="13" t="inlineStr">
        <is>
          <t>COW013</t>
        </is>
      </c>
      <c r="C382" s="13" t="inlineStr">
        <is>
          <t>RFID100013</t>
        </is>
      </c>
      <c r="D382" s="13" t="inlineStr">
        <is>
          <t>2024-01-21</t>
        </is>
      </c>
      <c r="E382" s="13" t="inlineStr">
        <is>
          <t>08:00</t>
        </is>
      </c>
      <c r="F382" s="13" t="n">
        <v>7.31</v>
      </c>
      <c r="G382" s="13" t="n">
        <v>6.57</v>
      </c>
      <c r="H382" s="13" t="n">
        <v>5.89</v>
      </c>
      <c r="I382" s="15">
        <f>F382+G382+H382</f>
        <v/>
      </c>
      <c r="J382" s="15">
        <f>ROUND((I382-20.4)/20.4*100,2)</f>
        <v/>
      </c>
      <c r="K382" s="15" t="inlineStr">
        <is>
          <t>Normal</t>
        </is>
      </c>
    </row>
    <row r="383" ht="15" customHeight="1" s="11">
      <c r="A383" s="14" t="n">
        <v>382</v>
      </c>
      <c r="B383" s="14" t="inlineStr">
        <is>
          <t>COW013</t>
        </is>
      </c>
      <c r="C383" s="14" t="inlineStr">
        <is>
          <t>RFID100013</t>
        </is>
      </c>
      <c r="D383" s="14" t="inlineStr">
        <is>
          <t>2024-01-22</t>
        </is>
      </c>
      <c r="E383" s="14" t="inlineStr">
        <is>
          <t>08:00</t>
        </is>
      </c>
      <c r="F383" s="14" t="n">
        <v>6.59</v>
      </c>
      <c r="G383" s="14" t="n">
        <v>6.2</v>
      </c>
      <c r="H383" s="14" t="n">
        <v>5.79</v>
      </c>
      <c r="I383" s="15">
        <f>F383+G383+H383</f>
        <v/>
      </c>
      <c r="J383" s="15">
        <f>ROUND((I383-20.4)/20.4*100,2)</f>
        <v/>
      </c>
      <c r="K383" s="15" t="inlineStr">
        <is>
          <t>Normal</t>
        </is>
      </c>
    </row>
    <row r="384" ht="15" customHeight="1" s="11">
      <c r="A384" s="13" t="n">
        <v>383</v>
      </c>
      <c r="B384" s="13" t="inlineStr">
        <is>
          <t>COW013</t>
        </is>
      </c>
      <c r="C384" s="13" t="inlineStr">
        <is>
          <t>RFID100013</t>
        </is>
      </c>
      <c r="D384" s="13" t="inlineStr">
        <is>
          <t>2024-01-23</t>
        </is>
      </c>
      <c r="E384" s="13" t="inlineStr">
        <is>
          <t>08:00</t>
        </is>
      </c>
      <c r="F384" s="13" t="n">
        <v>6.81</v>
      </c>
      <c r="G384" s="13" t="n">
        <v>7.01</v>
      </c>
      <c r="H384" s="13" t="n">
        <v>6.46</v>
      </c>
      <c r="I384" s="15">
        <f>F384+G384+H384</f>
        <v/>
      </c>
      <c r="J384" s="15">
        <f>ROUND((I384-20.4)/20.4*100,2)</f>
        <v/>
      </c>
      <c r="K384" s="15" t="inlineStr">
        <is>
          <t>Normal</t>
        </is>
      </c>
    </row>
    <row r="385" ht="15" customHeight="1" s="11">
      <c r="A385" s="14" t="n">
        <v>384</v>
      </c>
      <c r="B385" s="14" t="inlineStr">
        <is>
          <t>COW013</t>
        </is>
      </c>
      <c r="C385" s="14" t="inlineStr">
        <is>
          <t>RFID100013</t>
        </is>
      </c>
      <c r="D385" s="14" t="inlineStr">
        <is>
          <t>2024-01-24</t>
        </is>
      </c>
      <c r="E385" s="14" t="inlineStr">
        <is>
          <t>08:00</t>
        </is>
      </c>
      <c r="F385" s="14" t="n">
        <v>6.3</v>
      </c>
      <c r="G385" s="14" t="n">
        <v>7.19</v>
      </c>
      <c r="H385" s="14" t="n">
        <v>6.69</v>
      </c>
      <c r="I385" s="15">
        <f>F385+G385+H385</f>
        <v/>
      </c>
      <c r="J385" s="15">
        <f>ROUND((I385-20.4)/20.4*100,2)</f>
        <v/>
      </c>
      <c r="K385" s="15" t="inlineStr">
        <is>
          <t>Normal</t>
        </is>
      </c>
    </row>
    <row r="386" ht="15" customHeight="1" s="11">
      <c r="A386" s="13" t="n">
        <v>385</v>
      </c>
      <c r="B386" s="13" t="inlineStr">
        <is>
          <t>COW013</t>
        </is>
      </c>
      <c r="C386" s="13" t="inlineStr">
        <is>
          <t>RFID100013</t>
        </is>
      </c>
      <c r="D386" s="13" t="inlineStr">
        <is>
          <t>2024-01-25</t>
        </is>
      </c>
      <c r="E386" s="13" t="inlineStr">
        <is>
          <t>08:00</t>
        </is>
      </c>
      <c r="F386" s="13" t="n">
        <v>6.15</v>
      </c>
      <c r="G386" s="13" t="n">
        <v>6.55</v>
      </c>
      <c r="H386" s="13" t="n">
        <v>6.11</v>
      </c>
      <c r="I386" s="15">
        <f>F386+G386+H386</f>
        <v/>
      </c>
      <c r="J386" s="15">
        <f>ROUND((I386-20.4)/20.4*100,2)</f>
        <v/>
      </c>
      <c r="K386" s="15" t="inlineStr">
        <is>
          <t>Normal</t>
        </is>
      </c>
    </row>
    <row r="387" ht="15" customHeight="1" s="11">
      <c r="A387" s="14" t="n">
        <v>386</v>
      </c>
      <c r="B387" s="14" t="inlineStr">
        <is>
          <t>COW013</t>
        </is>
      </c>
      <c r="C387" s="14" t="inlineStr">
        <is>
          <t>RFID100013</t>
        </is>
      </c>
      <c r="D387" s="14" t="inlineStr">
        <is>
          <t>2024-01-26</t>
        </is>
      </c>
      <c r="E387" s="14" t="inlineStr">
        <is>
          <t>08:00</t>
        </is>
      </c>
      <c r="F387" s="14" t="n">
        <v>6.35</v>
      </c>
      <c r="G387" s="14" t="n">
        <v>6.41</v>
      </c>
      <c r="H387" s="14" t="n">
        <v>6.72</v>
      </c>
      <c r="I387" s="15">
        <f>F387+G387+H387</f>
        <v/>
      </c>
      <c r="J387" s="15">
        <f>ROUND((I387-20.4)/20.4*100,2)</f>
        <v/>
      </c>
      <c r="K387" s="15" t="inlineStr">
        <is>
          <t>Normal</t>
        </is>
      </c>
    </row>
    <row r="388" ht="15" customHeight="1" s="11">
      <c r="A388" s="13" t="n">
        <v>387</v>
      </c>
      <c r="B388" s="13" t="inlineStr">
        <is>
          <t>COW013</t>
        </is>
      </c>
      <c r="C388" s="13" t="inlineStr">
        <is>
          <t>RFID100013</t>
        </is>
      </c>
      <c r="D388" s="13" t="inlineStr">
        <is>
          <t>2024-01-27</t>
        </is>
      </c>
      <c r="E388" s="13" t="inlineStr">
        <is>
          <t>08:00</t>
        </is>
      </c>
      <c r="F388" s="13" t="n">
        <v>6.51</v>
      </c>
      <c r="G388" s="13" t="n">
        <v>6.39</v>
      </c>
      <c r="H388" s="13" t="n">
        <v>6.8</v>
      </c>
      <c r="I388" s="15">
        <f>F388+G388+H388</f>
        <v/>
      </c>
      <c r="J388" s="15">
        <f>ROUND((I388-20.4)/20.4*100,2)</f>
        <v/>
      </c>
      <c r="K388" s="15" t="inlineStr">
        <is>
          <t>Normal</t>
        </is>
      </c>
    </row>
    <row r="389" ht="15" customHeight="1" s="11">
      <c r="A389" s="14" t="n">
        <v>388</v>
      </c>
      <c r="B389" s="14" t="inlineStr">
        <is>
          <t>COW013</t>
        </is>
      </c>
      <c r="C389" s="14" t="inlineStr">
        <is>
          <t>RFID100013</t>
        </is>
      </c>
      <c r="D389" s="14" t="inlineStr">
        <is>
          <t>2024-01-28</t>
        </is>
      </c>
      <c r="E389" s="14" t="inlineStr">
        <is>
          <t>08:00</t>
        </is>
      </c>
      <c r="F389" s="14" t="n">
        <v>6.26</v>
      </c>
      <c r="G389" s="14" t="n">
        <v>7.3</v>
      </c>
      <c r="H389" s="14" t="n">
        <v>5.82</v>
      </c>
      <c r="I389" s="15">
        <f>F389+G389+H389</f>
        <v/>
      </c>
      <c r="J389" s="15">
        <f>ROUND((I389-20.4)/20.4*100,2)</f>
        <v/>
      </c>
      <c r="K389" s="15" t="inlineStr">
        <is>
          <t>Normal</t>
        </is>
      </c>
    </row>
    <row r="390" ht="15" customHeight="1" s="11">
      <c r="A390" s="13" t="n">
        <v>389</v>
      </c>
      <c r="B390" s="13" t="inlineStr">
        <is>
          <t>COW013</t>
        </is>
      </c>
      <c r="C390" s="13" t="inlineStr">
        <is>
          <t>RFID100013</t>
        </is>
      </c>
      <c r="D390" s="13" t="inlineStr">
        <is>
          <t>2024-01-29</t>
        </is>
      </c>
      <c r="E390" s="13" t="inlineStr">
        <is>
          <t>08:00</t>
        </is>
      </c>
      <c r="F390" s="13" t="n">
        <v>6.98</v>
      </c>
      <c r="G390" s="13" t="n">
        <v>6.54</v>
      </c>
      <c r="H390" s="13" t="n">
        <v>7.32</v>
      </c>
      <c r="I390" s="15">
        <f>F390+G390+H390</f>
        <v/>
      </c>
      <c r="J390" s="15">
        <f>ROUND((I390-20.4)/20.4*100,2)</f>
        <v/>
      </c>
      <c r="K390" s="15" t="inlineStr">
        <is>
          <t>Normal</t>
        </is>
      </c>
    </row>
    <row r="391" ht="15" customHeight="1" s="11">
      <c r="A391" s="14" t="n">
        <v>390</v>
      </c>
      <c r="B391" s="14" t="inlineStr">
        <is>
          <t>COW013</t>
        </is>
      </c>
      <c r="C391" s="14" t="inlineStr">
        <is>
          <t>RFID100013</t>
        </is>
      </c>
      <c r="D391" s="14" t="inlineStr">
        <is>
          <t>2024-01-30</t>
        </is>
      </c>
      <c r="E391" s="14" t="inlineStr">
        <is>
          <t>08:00</t>
        </is>
      </c>
      <c r="F391" s="14" t="n">
        <v>7.02</v>
      </c>
      <c r="G391" s="14" t="n">
        <v>6.35</v>
      </c>
      <c r="H391" s="14" t="n">
        <v>6.48</v>
      </c>
      <c r="I391" s="15">
        <f>F391+G391+H391</f>
        <v/>
      </c>
      <c r="J391" s="15">
        <f>ROUND((I391-20.4)/20.4*100,2)</f>
        <v/>
      </c>
      <c r="K391" s="15" t="inlineStr">
        <is>
          <t>Normal</t>
        </is>
      </c>
    </row>
    <row r="392" ht="15" customHeight="1" s="11">
      <c r="A392" s="13" t="n">
        <v>391</v>
      </c>
      <c r="B392" s="13" t="inlineStr">
        <is>
          <t>COW014</t>
        </is>
      </c>
      <c r="C392" s="13" t="inlineStr">
        <is>
          <t>RFID100014</t>
        </is>
      </c>
      <c r="D392" s="13" t="inlineStr">
        <is>
          <t>2024-01-01</t>
        </is>
      </c>
      <c r="E392" s="13" t="inlineStr">
        <is>
          <t>08:00</t>
        </is>
      </c>
      <c r="F392" s="13" t="n">
        <v>9.23</v>
      </c>
      <c r="G392" s="13" t="n">
        <v>7.33</v>
      </c>
      <c r="H392" s="13" t="n">
        <v>6.86</v>
      </c>
      <c r="I392" s="15">
        <f>F392+G392+H392</f>
        <v/>
      </c>
      <c r="J392" s="15">
        <f>ROUND((I392-24.4)/24.4*100,2)</f>
        <v/>
      </c>
      <c r="K392" s="15" t="inlineStr">
        <is>
          <t>Normal</t>
        </is>
      </c>
    </row>
    <row r="393" ht="15" customHeight="1" s="11">
      <c r="A393" s="14" t="n">
        <v>392</v>
      </c>
      <c r="B393" s="14" t="inlineStr">
        <is>
          <t>COW014</t>
        </is>
      </c>
      <c r="C393" s="14" t="inlineStr">
        <is>
          <t>RFID100014</t>
        </is>
      </c>
      <c r="D393" s="14" t="inlineStr">
        <is>
          <t>2024-01-02</t>
        </is>
      </c>
      <c r="E393" s="14" t="inlineStr">
        <is>
          <t>08:00</t>
        </is>
      </c>
      <c r="F393" s="14" t="n">
        <v>8.859999999999999</v>
      </c>
      <c r="G393" s="14" t="n">
        <v>7.51</v>
      </c>
      <c r="H393" s="14" t="n">
        <v>8.26</v>
      </c>
      <c r="I393" s="15">
        <f>F393+G393+H393</f>
        <v/>
      </c>
      <c r="J393" s="15">
        <f>ROUND((I393-24.4)/24.4*100,2)</f>
        <v/>
      </c>
      <c r="K393" s="15" t="inlineStr">
        <is>
          <t>Normal</t>
        </is>
      </c>
    </row>
    <row r="394" ht="15" customHeight="1" s="11">
      <c r="A394" s="13" t="n">
        <v>393</v>
      </c>
      <c r="B394" s="13" t="inlineStr">
        <is>
          <t>COW014</t>
        </is>
      </c>
      <c r="C394" s="13" t="inlineStr">
        <is>
          <t>RFID100014</t>
        </is>
      </c>
      <c r="D394" s="13" t="inlineStr">
        <is>
          <t>2024-01-03</t>
        </is>
      </c>
      <c r="E394" s="13" t="inlineStr">
        <is>
          <t>08:00</t>
        </is>
      </c>
      <c r="F394" s="13" t="n">
        <v>8.550000000000001</v>
      </c>
      <c r="G394" s="13" t="n">
        <v>8.34</v>
      </c>
      <c r="H394" s="13" t="n">
        <v>8.27</v>
      </c>
      <c r="I394" s="15">
        <f>F394+G394+H394</f>
        <v/>
      </c>
      <c r="J394" s="15">
        <f>ROUND((I394-24.4)/24.4*100,2)</f>
        <v/>
      </c>
      <c r="K394" s="15" t="inlineStr">
        <is>
          <t>Normal</t>
        </is>
      </c>
    </row>
    <row r="395" ht="15" customHeight="1" s="11">
      <c r="A395" s="14" t="n">
        <v>394</v>
      </c>
      <c r="B395" s="14" t="inlineStr">
        <is>
          <t>COW014</t>
        </is>
      </c>
      <c r="C395" s="14" t="inlineStr">
        <is>
          <t>RFID100014</t>
        </is>
      </c>
      <c r="D395" s="14" t="inlineStr">
        <is>
          <t>2024-01-04</t>
        </is>
      </c>
      <c r="E395" s="14" t="inlineStr">
        <is>
          <t>08:00</t>
        </is>
      </c>
      <c r="F395" s="14" t="n">
        <v>7.97</v>
      </c>
      <c r="G395" s="14" t="n">
        <v>6.92</v>
      </c>
      <c r="H395" s="14" t="n">
        <v>7.9</v>
      </c>
      <c r="I395" s="15">
        <f>F395+G395+H395</f>
        <v/>
      </c>
      <c r="J395" s="15">
        <f>ROUND((I395-24.4)/24.4*100,2)</f>
        <v/>
      </c>
      <c r="K395" s="15" t="inlineStr">
        <is>
          <t>Normal</t>
        </is>
      </c>
    </row>
    <row r="396" ht="15" customHeight="1" s="11">
      <c r="A396" s="13" t="n">
        <v>395</v>
      </c>
      <c r="B396" s="13" t="inlineStr">
        <is>
          <t>COW014</t>
        </is>
      </c>
      <c r="C396" s="13" t="inlineStr">
        <is>
          <t>RFID100014</t>
        </is>
      </c>
      <c r="D396" s="13" t="inlineStr">
        <is>
          <t>2024-01-05</t>
        </is>
      </c>
      <c r="E396" s="13" t="inlineStr">
        <is>
          <t>08:00</t>
        </is>
      </c>
      <c r="F396" s="13" t="n">
        <v>8.91</v>
      </c>
      <c r="G396" s="13" t="n">
        <v>7.17</v>
      </c>
      <c r="H396" s="13" t="n">
        <v>8.35</v>
      </c>
      <c r="I396" s="15">
        <f>F396+G396+H396</f>
        <v/>
      </c>
      <c r="J396" s="15">
        <f>ROUND((I396-24.4)/24.4*100,2)</f>
        <v/>
      </c>
      <c r="K396" s="15" t="inlineStr">
        <is>
          <t>Normal</t>
        </is>
      </c>
    </row>
    <row r="397" ht="15" customHeight="1" s="11">
      <c r="A397" s="14" t="n">
        <v>396</v>
      </c>
      <c r="B397" s="14" t="inlineStr">
        <is>
          <t>COW014</t>
        </is>
      </c>
      <c r="C397" s="14" t="inlineStr">
        <is>
          <t>RFID100014</t>
        </is>
      </c>
      <c r="D397" s="14" t="inlineStr">
        <is>
          <t>2024-01-06</t>
        </is>
      </c>
      <c r="E397" s="14" t="inlineStr">
        <is>
          <t>08:00</t>
        </is>
      </c>
      <c r="F397" s="14" t="n">
        <v>8.23</v>
      </c>
      <c r="G397" s="14" t="n">
        <v>8.19</v>
      </c>
      <c r="H397" s="14" t="n">
        <v>8.07</v>
      </c>
      <c r="I397" s="15">
        <f>F397+G397+H397</f>
        <v/>
      </c>
      <c r="J397" s="15">
        <f>ROUND((I397-24.4)/24.4*100,2)</f>
        <v/>
      </c>
      <c r="K397" s="15" t="inlineStr">
        <is>
          <t>Normal</t>
        </is>
      </c>
    </row>
    <row r="398" ht="15" customHeight="1" s="11">
      <c r="A398" s="13" t="n">
        <v>397</v>
      </c>
      <c r="B398" s="13" t="inlineStr">
        <is>
          <t>COW014</t>
        </is>
      </c>
      <c r="C398" s="13" t="inlineStr">
        <is>
          <t>RFID100014</t>
        </is>
      </c>
      <c r="D398" s="13" t="inlineStr">
        <is>
          <t>2024-01-07</t>
        </is>
      </c>
      <c r="E398" s="13" t="inlineStr">
        <is>
          <t>08:00</t>
        </is>
      </c>
      <c r="F398" s="13" t="n">
        <v>8.9</v>
      </c>
      <c r="G398" s="13" t="n">
        <v>6.96</v>
      </c>
      <c r="H398" s="13" t="n">
        <v>8.35</v>
      </c>
      <c r="I398" s="15">
        <f>F398+G398+H398</f>
        <v/>
      </c>
      <c r="J398" s="15">
        <f>ROUND((I398-24.4)/24.4*100,2)</f>
        <v/>
      </c>
      <c r="K398" s="15" t="inlineStr">
        <is>
          <t>Normal</t>
        </is>
      </c>
    </row>
    <row r="399" ht="15" customHeight="1" s="11">
      <c r="A399" s="14" t="n">
        <v>398</v>
      </c>
      <c r="B399" s="14" t="inlineStr">
        <is>
          <t>COW014</t>
        </is>
      </c>
      <c r="C399" s="14" t="inlineStr">
        <is>
          <t>RFID100014</t>
        </is>
      </c>
      <c r="D399" s="14" t="inlineStr">
        <is>
          <t>2024-01-08</t>
        </is>
      </c>
      <c r="E399" s="14" t="inlineStr">
        <is>
          <t>08:00</t>
        </is>
      </c>
      <c r="F399" s="14" t="n">
        <v>8.210000000000001</v>
      </c>
      <c r="G399" s="14" t="n">
        <v>7.4</v>
      </c>
      <c r="H399" s="14" t="n">
        <v>6.92</v>
      </c>
      <c r="I399" s="15">
        <f>F399+G399+H399</f>
        <v/>
      </c>
      <c r="J399" s="15">
        <f>ROUND((I399-24.4)/24.4*100,2)</f>
        <v/>
      </c>
      <c r="K399" s="15" t="inlineStr">
        <is>
          <t>Normal</t>
        </is>
      </c>
    </row>
    <row r="400" ht="15" customHeight="1" s="11">
      <c r="A400" s="13" t="n">
        <v>399</v>
      </c>
      <c r="B400" s="13" t="inlineStr">
        <is>
          <t>COW014</t>
        </is>
      </c>
      <c r="C400" s="13" t="inlineStr">
        <is>
          <t>RFID100014</t>
        </is>
      </c>
      <c r="D400" s="13" t="inlineStr">
        <is>
          <t>2024-01-09</t>
        </is>
      </c>
      <c r="E400" s="13" t="inlineStr">
        <is>
          <t>08:00</t>
        </is>
      </c>
      <c r="F400" s="13" t="n">
        <v>7.71</v>
      </c>
      <c r="G400" s="13" t="n">
        <v>6.91</v>
      </c>
      <c r="H400" s="13" t="n">
        <v>8.65</v>
      </c>
      <c r="I400" s="15">
        <f>F400+G400+H400</f>
        <v/>
      </c>
      <c r="J400" s="15">
        <f>ROUND((I400-24.4)/24.4*100,2)</f>
        <v/>
      </c>
      <c r="K400" s="15" t="inlineStr">
        <is>
          <t>Normal</t>
        </is>
      </c>
    </row>
    <row r="401" ht="15" customHeight="1" s="11">
      <c r="A401" s="14" t="n">
        <v>400</v>
      </c>
      <c r="B401" s="14" t="inlineStr">
        <is>
          <t>COW014</t>
        </is>
      </c>
      <c r="C401" s="14" t="inlineStr">
        <is>
          <t>RFID100014</t>
        </is>
      </c>
      <c r="D401" s="14" t="inlineStr">
        <is>
          <t>2024-01-10</t>
        </is>
      </c>
      <c r="E401" s="14" t="inlineStr">
        <is>
          <t>08:00</t>
        </is>
      </c>
      <c r="F401" s="14" t="n">
        <v>8.33</v>
      </c>
      <c r="G401" s="14" t="n">
        <v>8.76</v>
      </c>
      <c r="H401" s="14" t="n">
        <v>7.89</v>
      </c>
      <c r="I401" s="15">
        <f>F401+G401+H401</f>
        <v/>
      </c>
      <c r="J401" s="15">
        <f>ROUND((I401-24.4)/24.4*100,2)</f>
        <v/>
      </c>
      <c r="K401" s="15" t="inlineStr">
        <is>
          <t>Normal</t>
        </is>
      </c>
    </row>
    <row r="402" ht="15" customHeight="1" s="11">
      <c r="A402" s="13" t="n">
        <v>401</v>
      </c>
      <c r="B402" s="13" t="inlineStr">
        <is>
          <t>COW014</t>
        </is>
      </c>
      <c r="C402" s="13" t="inlineStr">
        <is>
          <t>RFID100014</t>
        </is>
      </c>
      <c r="D402" s="13" t="inlineStr">
        <is>
          <t>2024-01-11</t>
        </is>
      </c>
      <c r="E402" s="13" t="inlineStr">
        <is>
          <t>08:00</t>
        </is>
      </c>
      <c r="F402" s="13" t="n">
        <v>7.81</v>
      </c>
      <c r="G402" s="13" t="n">
        <v>8.300000000000001</v>
      </c>
      <c r="H402" s="13" t="n">
        <v>7.21</v>
      </c>
      <c r="I402" s="15">
        <f>F402+G402+H402</f>
        <v/>
      </c>
      <c r="J402" s="15">
        <f>ROUND((I402-24.4)/24.4*100,2)</f>
        <v/>
      </c>
      <c r="K402" s="15" t="inlineStr">
        <is>
          <t>Normal</t>
        </is>
      </c>
    </row>
    <row r="403" ht="15" customHeight="1" s="11">
      <c r="A403" s="14" t="n">
        <v>402</v>
      </c>
      <c r="B403" s="14" t="inlineStr">
        <is>
          <t>COW014</t>
        </is>
      </c>
      <c r="C403" s="14" t="inlineStr">
        <is>
          <t>RFID100014</t>
        </is>
      </c>
      <c r="D403" s="14" t="inlineStr">
        <is>
          <t>2024-01-12</t>
        </is>
      </c>
      <c r="E403" s="14" t="inlineStr">
        <is>
          <t>08:00</t>
        </is>
      </c>
      <c r="F403" s="14" t="n">
        <v>8.02</v>
      </c>
      <c r="G403" s="14" t="n">
        <v>8.359999999999999</v>
      </c>
      <c r="H403" s="14" t="n">
        <v>8.52</v>
      </c>
      <c r="I403" s="15">
        <f>F403+G403+H403</f>
        <v/>
      </c>
      <c r="J403" s="15">
        <f>ROUND((I403-24.4)/24.4*100,2)</f>
        <v/>
      </c>
      <c r="K403" s="15" t="inlineStr">
        <is>
          <t>Normal</t>
        </is>
      </c>
    </row>
    <row r="404" ht="15" customHeight="1" s="11">
      <c r="A404" s="13" t="n">
        <v>403</v>
      </c>
      <c r="B404" s="13" t="inlineStr">
        <is>
          <t>COW014</t>
        </is>
      </c>
      <c r="C404" s="13" t="inlineStr">
        <is>
          <t>RFID100014</t>
        </is>
      </c>
      <c r="D404" s="13" t="inlineStr">
        <is>
          <t>2024-01-13</t>
        </is>
      </c>
      <c r="E404" s="13" t="inlineStr">
        <is>
          <t>08:00</t>
        </is>
      </c>
      <c r="F404" s="13" t="n">
        <v>7.97</v>
      </c>
      <c r="G404" s="13" t="n">
        <v>7.07</v>
      </c>
      <c r="H404" s="13" t="n">
        <v>7.55</v>
      </c>
      <c r="I404" s="15">
        <f>F404+G404+H404</f>
        <v/>
      </c>
      <c r="J404" s="15">
        <f>ROUND((I404-24.4)/24.4*100,2)</f>
        <v/>
      </c>
      <c r="K404" s="15" t="inlineStr">
        <is>
          <t>Normal</t>
        </is>
      </c>
    </row>
    <row r="405" ht="15" customHeight="1" s="11">
      <c r="A405" s="14" t="n">
        <v>404</v>
      </c>
      <c r="B405" s="14" t="inlineStr">
        <is>
          <t>COW014</t>
        </is>
      </c>
      <c r="C405" s="14" t="inlineStr">
        <is>
          <t>RFID100014</t>
        </is>
      </c>
      <c r="D405" s="14" t="inlineStr">
        <is>
          <t>2024-01-14</t>
        </is>
      </c>
      <c r="E405" s="14" t="inlineStr">
        <is>
          <t>08:00</t>
        </is>
      </c>
      <c r="F405" s="14" t="n">
        <v>9.06</v>
      </c>
      <c r="G405" s="14" t="n">
        <v>8.279999999999999</v>
      </c>
      <c r="H405" s="14" t="n">
        <v>8.58</v>
      </c>
      <c r="I405" s="15">
        <f>F405+G405+H405</f>
        <v/>
      </c>
      <c r="J405" s="15">
        <f>ROUND((I405-24.4)/24.4*100,2)</f>
        <v/>
      </c>
      <c r="K405" s="15" t="inlineStr">
        <is>
          <t>Normal</t>
        </is>
      </c>
    </row>
    <row r="406" ht="15" customHeight="1" s="11">
      <c r="A406" s="13" t="n">
        <v>405</v>
      </c>
      <c r="B406" s="13" t="inlineStr">
        <is>
          <t>COW014</t>
        </is>
      </c>
      <c r="C406" s="13" t="inlineStr">
        <is>
          <t>RFID100014</t>
        </is>
      </c>
      <c r="D406" s="13" t="inlineStr">
        <is>
          <t>2024-01-15</t>
        </is>
      </c>
      <c r="E406" s="13" t="inlineStr">
        <is>
          <t>08:00</t>
        </is>
      </c>
      <c r="F406" s="13" t="n">
        <v>8.07</v>
      </c>
      <c r="G406" s="13" t="n">
        <v>8.73</v>
      </c>
      <c r="H406" s="13" t="n">
        <v>7.8</v>
      </c>
      <c r="I406" s="15">
        <f>F406+G406+H406</f>
        <v/>
      </c>
      <c r="J406" s="15">
        <f>ROUND((I406-24.4)/24.4*100,2)</f>
        <v/>
      </c>
      <c r="K406" s="15" t="inlineStr">
        <is>
          <t>Normal</t>
        </is>
      </c>
    </row>
    <row r="407" ht="15" customHeight="1" s="11">
      <c r="A407" s="14" t="n">
        <v>406</v>
      </c>
      <c r="B407" s="14" t="inlineStr">
        <is>
          <t>COW014</t>
        </is>
      </c>
      <c r="C407" s="14" t="inlineStr">
        <is>
          <t>RFID100014</t>
        </is>
      </c>
      <c r="D407" s="14" t="inlineStr">
        <is>
          <t>2024-01-16</t>
        </is>
      </c>
      <c r="E407" s="14" t="inlineStr">
        <is>
          <t>08:00</t>
        </is>
      </c>
      <c r="F407" s="14" t="n">
        <v>8.289999999999999</v>
      </c>
      <c r="G407" s="14" t="n">
        <v>8.640000000000001</v>
      </c>
      <c r="H407" s="14" t="n">
        <v>7.85</v>
      </c>
      <c r="I407" s="15">
        <f>F407+G407+H407</f>
        <v/>
      </c>
      <c r="J407" s="15">
        <f>ROUND((I407-24.4)/24.4*100,2)</f>
        <v/>
      </c>
      <c r="K407" s="15" t="inlineStr">
        <is>
          <t>Normal</t>
        </is>
      </c>
    </row>
    <row r="408" ht="15" customHeight="1" s="11">
      <c r="A408" s="13" t="n">
        <v>407</v>
      </c>
      <c r="B408" s="13" t="inlineStr">
        <is>
          <t>COW014</t>
        </is>
      </c>
      <c r="C408" s="13" t="inlineStr">
        <is>
          <t>RFID100014</t>
        </is>
      </c>
      <c r="D408" s="13" t="inlineStr">
        <is>
          <t>2024-01-17</t>
        </is>
      </c>
      <c r="E408" s="13" t="inlineStr">
        <is>
          <t>08:00</t>
        </is>
      </c>
      <c r="F408" s="13" t="n">
        <v>8.880000000000001</v>
      </c>
      <c r="G408" s="13" t="n">
        <v>8.25</v>
      </c>
      <c r="H408" s="13" t="n">
        <v>6.99</v>
      </c>
      <c r="I408" s="15">
        <f>F408+G408+H408</f>
        <v/>
      </c>
      <c r="J408" s="15">
        <f>ROUND((I408-24.4)/24.4*100,2)</f>
        <v/>
      </c>
      <c r="K408" s="15" t="inlineStr">
        <is>
          <t>Normal</t>
        </is>
      </c>
    </row>
    <row r="409" ht="15" customHeight="1" s="11">
      <c r="A409" s="14" t="n">
        <v>408</v>
      </c>
      <c r="B409" s="14" t="inlineStr">
        <is>
          <t>COW014</t>
        </is>
      </c>
      <c r="C409" s="14" t="inlineStr">
        <is>
          <t>RFID100014</t>
        </is>
      </c>
      <c r="D409" s="14" t="inlineStr">
        <is>
          <t>2024-01-18</t>
        </is>
      </c>
      <c r="E409" s="14" t="inlineStr">
        <is>
          <t>08:00</t>
        </is>
      </c>
      <c r="F409" s="14" t="n">
        <v>8.5</v>
      </c>
      <c r="G409" s="14" t="n">
        <v>8.44</v>
      </c>
      <c r="H409" s="14" t="n">
        <v>7.9</v>
      </c>
      <c r="I409" s="15">
        <f>F409+G409+H409</f>
        <v/>
      </c>
      <c r="J409" s="15">
        <f>ROUND((I409-24.4)/24.4*100,2)</f>
        <v/>
      </c>
      <c r="K409" s="15" t="inlineStr">
        <is>
          <t>Normal</t>
        </is>
      </c>
    </row>
    <row r="410" ht="15" customHeight="1" s="11">
      <c r="A410" s="13" t="n">
        <v>409</v>
      </c>
      <c r="B410" s="13" t="inlineStr">
        <is>
          <t>COW014</t>
        </is>
      </c>
      <c r="C410" s="13" t="inlineStr">
        <is>
          <t>RFID100014</t>
        </is>
      </c>
      <c r="D410" s="13" t="inlineStr">
        <is>
          <t>2024-01-19</t>
        </is>
      </c>
      <c r="E410" s="13" t="inlineStr">
        <is>
          <t>08:00</t>
        </is>
      </c>
      <c r="F410" s="13" t="n">
        <v>7.95</v>
      </c>
      <c r="G410" s="13" t="n">
        <v>6.99</v>
      </c>
      <c r="H410" s="13" t="n">
        <v>8.119999999999999</v>
      </c>
      <c r="I410" s="15">
        <f>F410+G410+H410</f>
        <v/>
      </c>
      <c r="J410" s="15">
        <f>ROUND((I410-24.4)/24.4*100,2)</f>
        <v/>
      </c>
      <c r="K410" s="15" t="inlineStr">
        <is>
          <t>Normal</t>
        </is>
      </c>
    </row>
    <row r="411" ht="15" customHeight="1" s="11">
      <c r="A411" s="14" t="n">
        <v>410</v>
      </c>
      <c r="B411" s="14" t="inlineStr">
        <is>
          <t>COW014</t>
        </is>
      </c>
      <c r="C411" s="14" t="inlineStr">
        <is>
          <t>RFID100014</t>
        </is>
      </c>
      <c r="D411" s="14" t="inlineStr">
        <is>
          <t>2024-01-20</t>
        </is>
      </c>
      <c r="E411" s="14" t="inlineStr">
        <is>
          <t>08:00</t>
        </is>
      </c>
      <c r="F411" s="14" t="n">
        <v>7.92</v>
      </c>
      <c r="G411" s="14" t="n">
        <v>8.01</v>
      </c>
      <c r="H411" s="14" t="n">
        <v>7.66</v>
      </c>
      <c r="I411" s="15">
        <f>F411+G411+H411</f>
        <v/>
      </c>
      <c r="J411" s="15">
        <f>ROUND((I411-24.4)/24.4*100,2)</f>
        <v/>
      </c>
      <c r="K411" s="15" t="inlineStr">
        <is>
          <t>Normal</t>
        </is>
      </c>
    </row>
    <row r="412" ht="15" customHeight="1" s="11">
      <c r="A412" s="13" t="n">
        <v>411</v>
      </c>
      <c r="B412" s="13" t="inlineStr">
        <is>
          <t>COW014</t>
        </is>
      </c>
      <c r="C412" s="13" t="inlineStr">
        <is>
          <t>RFID100014</t>
        </is>
      </c>
      <c r="D412" s="13" t="inlineStr">
        <is>
          <t>2024-01-21</t>
        </is>
      </c>
      <c r="E412" s="13" t="inlineStr">
        <is>
          <t>08:00</t>
        </is>
      </c>
      <c r="F412" s="13" t="n">
        <v>8.67</v>
      </c>
      <c r="G412" s="13" t="n">
        <v>7.52</v>
      </c>
      <c r="H412" s="13" t="n">
        <v>6.91</v>
      </c>
      <c r="I412" s="15">
        <f>F412+G412+H412</f>
        <v/>
      </c>
      <c r="J412" s="15">
        <f>ROUND((I412-24.4)/24.4*100,2)</f>
        <v/>
      </c>
      <c r="K412" s="15" t="inlineStr">
        <is>
          <t>Normal</t>
        </is>
      </c>
    </row>
    <row r="413" ht="15" customHeight="1" s="11">
      <c r="A413" s="14" t="n">
        <v>412</v>
      </c>
      <c r="B413" s="14" t="inlineStr">
        <is>
          <t>COW014</t>
        </is>
      </c>
      <c r="C413" s="14" t="inlineStr">
        <is>
          <t>RFID100014</t>
        </is>
      </c>
      <c r="D413" s="14" t="inlineStr">
        <is>
          <t>2024-01-22</t>
        </is>
      </c>
      <c r="E413" s="14" t="inlineStr">
        <is>
          <t>08:00</t>
        </is>
      </c>
      <c r="F413" s="14" t="n">
        <v>9.02</v>
      </c>
      <c r="G413" s="14" t="n">
        <v>7.52</v>
      </c>
      <c r="H413" s="14" t="n">
        <v>8.779999999999999</v>
      </c>
      <c r="I413" s="15">
        <f>F413+G413+H413</f>
        <v/>
      </c>
      <c r="J413" s="15">
        <f>ROUND((I413-24.4)/24.4*100,2)</f>
        <v/>
      </c>
      <c r="K413" s="15" t="inlineStr">
        <is>
          <t>Normal</t>
        </is>
      </c>
    </row>
    <row r="414" ht="15" customHeight="1" s="11">
      <c r="A414" s="13" t="n">
        <v>413</v>
      </c>
      <c r="B414" s="13" t="inlineStr">
        <is>
          <t>COW014</t>
        </is>
      </c>
      <c r="C414" s="13" t="inlineStr">
        <is>
          <t>RFID100014</t>
        </is>
      </c>
      <c r="D414" s="13" t="inlineStr">
        <is>
          <t>2024-01-23</t>
        </is>
      </c>
      <c r="E414" s="13" t="inlineStr">
        <is>
          <t>08:00</t>
        </is>
      </c>
      <c r="F414" s="13" t="n">
        <v>7.86</v>
      </c>
      <c r="G414" s="13" t="n">
        <v>8.75</v>
      </c>
      <c r="H414" s="13" t="n">
        <v>8.68</v>
      </c>
      <c r="I414" s="15">
        <f>F414+G414+H414</f>
        <v/>
      </c>
      <c r="J414" s="15">
        <f>ROUND((I414-24.4)/24.4*100,2)</f>
        <v/>
      </c>
      <c r="K414" s="15" t="inlineStr">
        <is>
          <t>Normal</t>
        </is>
      </c>
    </row>
    <row r="415" ht="15" customHeight="1" s="11">
      <c r="A415" s="14" t="n">
        <v>414</v>
      </c>
      <c r="B415" s="14" t="inlineStr">
        <is>
          <t>COW014</t>
        </is>
      </c>
      <c r="C415" s="14" t="inlineStr">
        <is>
          <t>RFID100014</t>
        </is>
      </c>
      <c r="D415" s="14" t="inlineStr">
        <is>
          <t>2024-01-24</t>
        </is>
      </c>
      <c r="E415" s="14" t="inlineStr">
        <is>
          <t>08:00</t>
        </is>
      </c>
      <c r="F415" s="14" t="n">
        <v>7.47</v>
      </c>
      <c r="G415" s="14" t="n">
        <v>8.08</v>
      </c>
      <c r="H415" s="14" t="n">
        <v>7.54</v>
      </c>
      <c r="I415" s="15">
        <f>F415+G415+H415</f>
        <v/>
      </c>
      <c r="J415" s="15">
        <f>ROUND((I415-24.4)/24.4*100,2)</f>
        <v/>
      </c>
      <c r="K415" s="15" t="inlineStr">
        <is>
          <t>Normal</t>
        </is>
      </c>
    </row>
    <row r="416" ht="15" customHeight="1" s="11">
      <c r="A416" s="13" t="n">
        <v>415</v>
      </c>
      <c r="B416" s="13" t="inlineStr">
        <is>
          <t>COW014</t>
        </is>
      </c>
      <c r="C416" s="13" t="inlineStr">
        <is>
          <t>RFID100014</t>
        </is>
      </c>
      <c r="D416" s="13" t="inlineStr">
        <is>
          <t>2024-01-25</t>
        </is>
      </c>
      <c r="E416" s="13" t="inlineStr">
        <is>
          <t>08:00</t>
        </is>
      </c>
      <c r="F416" s="13" t="n">
        <v>8.880000000000001</v>
      </c>
      <c r="G416" s="13" t="n">
        <v>8.16</v>
      </c>
      <c r="H416" s="13" t="n">
        <v>8.69</v>
      </c>
      <c r="I416" s="15">
        <f>F416+G416+H416</f>
        <v/>
      </c>
      <c r="J416" s="15">
        <f>ROUND((I416-24.4)/24.4*100,2)</f>
        <v/>
      </c>
      <c r="K416" s="15" t="inlineStr">
        <is>
          <t>Normal</t>
        </is>
      </c>
    </row>
    <row r="417" ht="15" customHeight="1" s="11">
      <c r="A417" s="14" t="n">
        <v>416</v>
      </c>
      <c r="B417" s="14" t="inlineStr">
        <is>
          <t>COW014</t>
        </is>
      </c>
      <c r="C417" s="14" t="inlineStr">
        <is>
          <t>RFID100014</t>
        </is>
      </c>
      <c r="D417" s="14" t="inlineStr">
        <is>
          <t>2024-01-26</t>
        </is>
      </c>
      <c r="E417" s="14" t="inlineStr">
        <is>
          <t>08:00</t>
        </is>
      </c>
      <c r="F417" s="14" t="n">
        <v>7.6</v>
      </c>
      <c r="G417" s="14" t="n">
        <v>8.02</v>
      </c>
      <c r="H417" s="14" t="n">
        <v>8.359999999999999</v>
      </c>
      <c r="I417" s="15">
        <f>F417+G417+H417</f>
        <v/>
      </c>
      <c r="J417" s="15">
        <f>ROUND((I417-24.4)/24.4*100,2)</f>
        <v/>
      </c>
      <c r="K417" s="15" t="inlineStr">
        <is>
          <t>Normal</t>
        </is>
      </c>
    </row>
    <row r="418" ht="15" customHeight="1" s="11">
      <c r="A418" s="13" t="n">
        <v>417</v>
      </c>
      <c r="B418" s="13" t="inlineStr">
        <is>
          <t>COW014</t>
        </is>
      </c>
      <c r="C418" s="13" t="inlineStr">
        <is>
          <t>RFID100014</t>
        </is>
      </c>
      <c r="D418" s="13" t="inlineStr">
        <is>
          <t>2024-01-27</t>
        </is>
      </c>
      <c r="E418" s="13" t="inlineStr">
        <is>
          <t>08:00</t>
        </is>
      </c>
      <c r="F418" s="13" t="n">
        <v>7.39</v>
      </c>
      <c r="G418" s="13" t="n">
        <v>6.96</v>
      </c>
      <c r="H418" s="13" t="n">
        <v>8.35</v>
      </c>
      <c r="I418" s="15">
        <f>F418+G418+H418</f>
        <v/>
      </c>
      <c r="J418" s="15">
        <f>ROUND((I418-24.4)/24.4*100,2)</f>
        <v/>
      </c>
      <c r="K418" s="15" t="inlineStr">
        <is>
          <t>Normal</t>
        </is>
      </c>
    </row>
    <row r="419" ht="15" customHeight="1" s="11">
      <c r="A419" s="14" t="n">
        <v>418</v>
      </c>
      <c r="B419" s="14" t="inlineStr">
        <is>
          <t>COW014</t>
        </is>
      </c>
      <c r="C419" s="14" t="inlineStr">
        <is>
          <t>RFID100014</t>
        </is>
      </c>
      <c r="D419" s="14" t="inlineStr">
        <is>
          <t>2024-01-28</t>
        </is>
      </c>
      <c r="E419" s="14" t="inlineStr">
        <is>
          <t>08:00</t>
        </is>
      </c>
      <c r="F419" s="14" t="n">
        <v>8.039999999999999</v>
      </c>
      <c r="G419" s="14" t="n">
        <v>7.58</v>
      </c>
      <c r="H419" s="14" t="n">
        <v>7.94</v>
      </c>
      <c r="I419" s="15">
        <f>F419+G419+H419</f>
        <v/>
      </c>
      <c r="J419" s="15">
        <f>ROUND((I419-24.4)/24.4*100,2)</f>
        <v/>
      </c>
      <c r="K419" s="15" t="inlineStr">
        <is>
          <t>Normal</t>
        </is>
      </c>
    </row>
    <row r="420" ht="15" customHeight="1" s="11">
      <c r="A420" s="13" t="n">
        <v>419</v>
      </c>
      <c r="B420" s="13" t="inlineStr">
        <is>
          <t>COW014</t>
        </is>
      </c>
      <c r="C420" s="13" t="inlineStr">
        <is>
          <t>RFID100014</t>
        </is>
      </c>
      <c r="D420" s="13" t="inlineStr">
        <is>
          <t>2024-01-29</t>
        </is>
      </c>
      <c r="E420" s="13" t="inlineStr">
        <is>
          <t>08:00</t>
        </is>
      </c>
      <c r="F420" s="13" t="n">
        <v>8.5</v>
      </c>
      <c r="G420" s="13" t="n">
        <v>8.16</v>
      </c>
      <c r="H420" s="13" t="n">
        <v>8.68</v>
      </c>
      <c r="I420" s="15">
        <f>F420+G420+H420</f>
        <v/>
      </c>
      <c r="J420" s="15">
        <f>ROUND((I420-24.4)/24.4*100,2)</f>
        <v/>
      </c>
      <c r="K420" s="15" t="inlineStr">
        <is>
          <t>Normal</t>
        </is>
      </c>
    </row>
    <row r="421" ht="15" customHeight="1" s="11">
      <c r="A421" s="14" t="n">
        <v>420</v>
      </c>
      <c r="B421" s="14" t="inlineStr">
        <is>
          <t>COW014</t>
        </is>
      </c>
      <c r="C421" s="14" t="inlineStr">
        <is>
          <t>RFID100014</t>
        </is>
      </c>
      <c r="D421" s="14" t="inlineStr">
        <is>
          <t>2024-01-30</t>
        </is>
      </c>
      <c r="E421" s="14" t="inlineStr">
        <is>
          <t>08:00</t>
        </is>
      </c>
      <c r="F421" s="14" t="n">
        <v>8.050000000000001</v>
      </c>
      <c r="G421" s="14" t="n">
        <v>8.32</v>
      </c>
      <c r="H421" s="14" t="n">
        <v>7.95</v>
      </c>
      <c r="I421" s="15">
        <f>F421+G421+H421</f>
        <v/>
      </c>
      <c r="J421" s="15">
        <f>ROUND((I421-24.4)/24.4*100,2)</f>
        <v/>
      </c>
      <c r="K421" s="15" t="inlineStr">
        <is>
          <t>Normal</t>
        </is>
      </c>
    </row>
    <row r="422" ht="15" customHeight="1" s="11">
      <c r="A422" s="13" t="n">
        <v>421</v>
      </c>
      <c r="B422" s="13" t="inlineStr">
        <is>
          <t>COW015</t>
        </is>
      </c>
      <c r="C422" s="13" t="inlineStr">
        <is>
          <t>RFID100015</t>
        </is>
      </c>
      <c r="D422" s="13" t="inlineStr">
        <is>
          <t>2024-01-01</t>
        </is>
      </c>
      <c r="E422" s="13" t="inlineStr">
        <is>
          <t>08:00</t>
        </is>
      </c>
      <c r="F422" s="13" t="n">
        <v>7.73</v>
      </c>
      <c r="G422" s="13" t="n">
        <v>7.73</v>
      </c>
      <c r="H422" s="13" t="n">
        <v>6.99</v>
      </c>
      <c r="I422" s="15">
        <f>F422+G422+H422</f>
        <v/>
      </c>
      <c r="J422" s="15">
        <f>ROUND((I422-23.3)/23.3*100,2)</f>
        <v/>
      </c>
      <c r="K422" s="15" t="inlineStr">
        <is>
          <t>Normal</t>
        </is>
      </c>
    </row>
    <row r="423" ht="15" customHeight="1" s="11">
      <c r="A423" s="14" t="n">
        <v>422</v>
      </c>
      <c r="B423" s="14" t="inlineStr">
        <is>
          <t>COW015</t>
        </is>
      </c>
      <c r="C423" s="14" t="inlineStr">
        <is>
          <t>RFID100015</t>
        </is>
      </c>
      <c r="D423" s="14" t="inlineStr">
        <is>
          <t>2024-01-02</t>
        </is>
      </c>
      <c r="E423" s="14" t="inlineStr">
        <is>
          <t>08:00</t>
        </is>
      </c>
      <c r="F423" s="14" t="n">
        <v>7.2</v>
      </c>
      <c r="G423" s="14" t="n">
        <v>7.9</v>
      </c>
      <c r="H423" s="14" t="n">
        <v>7.45</v>
      </c>
      <c r="I423" s="15">
        <f>F423+G423+H423</f>
        <v/>
      </c>
      <c r="J423" s="15">
        <f>ROUND((I423-23.3)/23.3*100,2)</f>
        <v/>
      </c>
      <c r="K423" s="15" t="inlineStr">
        <is>
          <t>Normal</t>
        </is>
      </c>
    </row>
    <row r="424" ht="15" customHeight="1" s="11">
      <c r="A424" s="13" t="n">
        <v>423</v>
      </c>
      <c r="B424" s="13" t="inlineStr">
        <is>
          <t>COW015</t>
        </is>
      </c>
      <c r="C424" s="13" t="inlineStr">
        <is>
          <t>RFID100015</t>
        </is>
      </c>
      <c r="D424" s="13" t="inlineStr">
        <is>
          <t>2024-01-03</t>
        </is>
      </c>
      <c r="E424" s="13" t="inlineStr">
        <is>
          <t>08:00</t>
        </is>
      </c>
      <c r="F424" s="13" t="n">
        <v>7.71</v>
      </c>
      <c r="G424" s="13" t="n">
        <v>7.57</v>
      </c>
      <c r="H424" s="13" t="n">
        <v>7.01</v>
      </c>
      <c r="I424" s="15">
        <f>F424+G424+H424</f>
        <v/>
      </c>
      <c r="J424" s="15">
        <f>ROUND((I424-23.3)/23.3*100,2)</f>
        <v/>
      </c>
      <c r="K424" s="15" t="inlineStr">
        <is>
          <t>Normal</t>
        </is>
      </c>
    </row>
    <row r="425" ht="15" customHeight="1" s="11">
      <c r="A425" s="14" t="n">
        <v>424</v>
      </c>
      <c r="B425" s="14" t="inlineStr">
        <is>
          <t>COW015</t>
        </is>
      </c>
      <c r="C425" s="14" t="inlineStr">
        <is>
          <t>RFID100015</t>
        </is>
      </c>
      <c r="D425" s="14" t="inlineStr">
        <is>
          <t>2024-01-04</t>
        </is>
      </c>
      <c r="E425" s="14" t="inlineStr">
        <is>
          <t>08:00</t>
        </is>
      </c>
      <c r="F425" s="14" t="n">
        <v>7.48</v>
      </c>
      <c r="G425" s="14" t="n">
        <v>7.36</v>
      </c>
      <c r="H425" s="14" t="n">
        <v>8.380000000000001</v>
      </c>
      <c r="I425" s="15">
        <f>F425+G425+H425</f>
        <v/>
      </c>
      <c r="J425" s="15">
        <f>ROUND((I425-23.3)/23.3*100,2)</f>
        <v/>
      </c>
      <c r="K425" s="15" t="inlineStr">
        <is>
          <t>Normal</t>
        </is>
      </c>
    </row>
    <row r="426" ht="15" customHeight="1" s="11">
      <c r="A426" s="13" t="n">
        <v>425</v>
      </c>
      <c r="B426" s="13" t="inlineStr">
        <is>
          <t>COW015</t>
        </is>
      </c>
      <c r="C426" s="13" t="inlineStr">
        <is>
          <t>RFID100015</t>
        </is>
      </c>
      <c r="D426" s="13" t="inlineStr">
        <is>
          <t>2024-01-05</t>
        </is>
      </c>
      <c r="E426" s="13" t="inlineStr">
        <is>
          <t>08:00</t>
        </is>
      </c>
      <c r="F426" s="13" t="n">
        <v>7.52</v>
      </c>
      <c r="G426" s="13" t="n">
        <v>8.23</v>
      </c>
      <c r="H426" s="13" t="n">
        <v>7.44</v>
      </c>
      <c r="I426" s="15">
        <f>F426+G426+H426</f>
        <v/>
      </c>
      <c r="J426" s="15">
        <f>ROUND((I426-23.3)/23.3*100,2)</f>
        <v/>
      </c>
      <c r="K426" s="15" t="inlineStr">
        <is>
          <t>Normal</t>
        </is>
      </c>
    </row>
    <row r="427" ht="15" customHeight="1" s="11">
      <c r="A427" s="14" t="n">
        <v>426</v>
      </c>
      <c r="B427" s="14" t="inlineStr">
        <is>
          <t>COW015</t>
        </is>
      </c>
      <c r="C427" s="14" t="inlineStr">
        <is>
          <t>RFID100015</t>
        </is>
      </c>
      <c r="D427" s="14" t="inlineStr">
        <is>
          <t>2024-01-06</t>
        </is>
      </c>
      <c r="E427" s="14" t="inlineStr">
        <is>
          <t>08:00</t>
        </is>
      </c>
      <c r="F427" s="14" t="n">
        <v>7.22</v>
      </c>
      <c r="G427" s="14" t="n">
        <v>8.109999999999999</v>
      </c>
      <c r="H427" s="14" t="n">
        <v>7.37</v>
      </c>
      <c r="I427" s="15">
        <f>F427+G427+H427</f>
        <v/>
      </c>
      <c r="J427" s="15">
        <f>ROUND((I427-23.3)/23.3*100,2)</f>
        <v/>
      </c>
      <c r="K427" s="15" t="inlineStr">
        <is>
          <t>Normal</t>
        </is>
      </c>
    </row>
    <row r="428" ht="15" customHeight="1" s="11">
      <c r="A428" s="13" t="n">
        <v>427</v>
      </c>
      <c r="B428" s="13" t="inlineStr">
        <is>
          <t>COW015</t>
        </is>
      </c>
      <c r="C428" s="13" t="inlineStr">
        <is>
          <t>RFID100015</t>
        </is>
      </c>
      <c r="D428" s="13" t="inlineStr">
        <is>
          <t>2024-01-07</t>
        </is>
      </c>
      <c r="E428" s="13" t="inlineStr">
        <is>
          <t>08:00</t>
        </is>
      </c>
      <c r="F428" s="13" t="n">
        <v>8.67</v>
      </c>
      <c r="G428" s="13" t="n">
        <v>7.35</v>
      </c>
      <c r="H428" s="13" t="n">
        <v>6.69</v>
      </c>
      <c r="I428" s="15">
        <f>F428+G428+H428</f>
        <v/>
      </c>
      <c r="J428" s="15">
        <f>ROUND((I428-23.3)/23.3*100,2)</f>
        <v/>
      </c>
      <c r="K428" s="15" t="inlineStr">
        <is>
          <t>Normal</t>
        </is>
      </c>
    </row>
    <row r="429" ht="15" customHeight="1" s="11">
      <c r="A429" s="14" t="n">
        <v>428</v>
      </c>
      <c r="B429" s="14" t="inlineStr">
        <is>
          <t>COW015</t>
        </is>
      </c>
      <c r="C429" s="14" t="inlineStr">
        <is>
          <t>RFID100015</t>
        </is>
      </c>
      <c r="D429" s="14" t="inlineStr">
        <is>
          <t>2024-01-08</t>
        </is>
      </c>
      <c r="E429" s="14" t="inlineStr">
        <is>
          <t>08:00</t>
        </is>
      </c>
      <c r="F429" s="14" t="n">
        <v>8.26</v>
      </c>
      <c r="G429" s="14" t="n">
        <v>8.1</v>
      </c>
      <c r="H429" s="14" t="n">
        <v>7.12</v>
      </c>
      <c r="I429" s="15">
        <f>F429+G429+H429</f>
        <v/>
      </c>
      <c r="J429" s="15">
        <f>ROUND((I429-23.3)/23.3*100,2)</f>
        <v/>
      </c>
      <c r="K429" s="15" t="inlineStr">
        <is>
          <t>Normal</t>
        </is>
      </c>
    </row>
    <row r="430" ht="15" customHeight="1" s="11">
      <c r="A430" s="13" t="n">
        <v>429</v>
      </c>
      <c r="B430" s="13" t="inlineStr">
        <is>
          <t>COW015</t>
        </is>
      </c>
      <c r="C430" s="13" t="inlineStr">
        <is>
          <t>RFID100015</t>
        </is>
      </c>
      <c r="D430" s="13" t="inlineStr">
        <is>
          <t>2024-01-09</t>
        </is>
      </c>
      <c r="E430" s="13" t="inlineStr">
        <is>
          <t>08:00</t>
        </is>
      </c>
      <c r="F430" s="13" t="n">
        <v>7.64</v>
      </c>
      <c r="G430" s="13" t="n">
        <v>6.65</v>
      </c>
      <c r="H430" s="13" t="n">
        <v>7.53</v>
      </c>
      <c r="I430" s="15">
        <f>F430+G430+H430</f>
        <v/>
      </c>
      <c r="J430" s="15">
        <f>ROUND((I430-23.3)/23.3*100,2)</f>
        <v/>
      </c>
      <c r="K430" s="15" t="inlineStr">
        <is>
          <t>Normal</t>
        </is>
      </c>
    </row>
    <row r="431" ht="15" customHeight="1" s="11">
      <c r="A431" s="14" t="n">
        <v>430</v>
      </c>
      <c r="B431" s="14" t="inlineStr">
        <is>
          <t>COW015</t>
        </is>
      </c>
      <c r="C431" s="14" t="inlineStr">
        <is>
          <t>RFID100015</t>
        </is>
      </c>
      <c r="D431" s="14" t="inlineStr">
        <is>
          <t>2024-01-10</t>
        </is>
      </c>
      <c r="E431" s="14" t="inlineStr">
        <is>
          <t>08:00</t>
        </is>
      </c>
      <c r="F431" s="14" t="n">
        <v>8.65</v>
      </c>
      <c r="G431" s="14" t="n">
        <v>8.109999999999999</v>
      </c>
      <c r="H431" s="14" t="n">
        <v>7.85</v>
      </c>
      <c r="I431" s="15">
        <f>F431+G431+H431</f>
        <v/>
      </c>
      <c r="J431" s="15">
        <f>ROUND((I431-23.3)/23.3*100,2)</f>
        <v/>
      </c>
      <c r="K431" s="15" t="inlineStr">
        <is>
          <t>Normal</t>
        </is>
      </c>
    </row>
    <row r="432" ht="15" customHeight="1" s="11">
      <c r="A432" s="13" t="n">
        <v>431</v>
      </c>
      <c r="B432" s="13" t="inlineStr">
        <is>
          <t>COW015</t>
        </is>
      </c>
      <c r="C432" s="13" t="inlineStr">
        <is>
          <t>RFID100015</t>
        </is>
      </c>
      <c r="D432" s="13" t="inlineStr">
        <is>
          <t>2024-01-11</t>
        </is>
      </c>
      <c r="E432" s="13" t="inlineStr">
        <is>
          <t>08:00</t>
        </is>
      </c>
      <c r="F432" s="13" t="n">
        <v>8.720000000000001</v>
      </c>
      <c r="G432" s="13" t="n">
        <v>7.71</v>
      </c>
      <c r="H432" s="13" t="n">
        <v>8</v>
      </c>
      <c r="I432" s="15">
        <f>F432+G432+H432</f>
        <v/>
      </c>
      <c r="J432" s="15">
        <f>ROUND((I432-23.3)/23.3*100,2)</f>
        <v/>
      </c>
      <c r="K432" s="15" t="inlineStr">
        <is>
          <t>Normal</t>
        </is>
      </c>
    </row>
    <row r="433" ht="15" customHeight="1" s="11">
      <c r="A433" s="14" t="n">
        <v>432</v>
      </c>
      <c r="B433" s="14" t="inlineStr">
        <is>
          <t>COW015</t>
        </is>
      </c>
      <c r="C433" s="14" t="inlineStr">
        <is>
          <t>RFID100015</t>
        </is>
      </c>
      <c r="D433" s="14" t="inlineStr">
        <is>
          <t>2024-01-12</t>
        </is>
      </c>
      <c r="E433" s="14" t="inlineStr">
        <is>
          <t>08:00</t>
        </is>
      </c>
      <c r="F433" s="14" t="n">
        <v>7.94</v>
      </c>
      <c r="G433" s="14" t="n">
        <v>6.75</v>
      </c>
      <c r="H433" s="14" t="n">
        <v>6.9</v>
      </c>
      <c r="I433" s="15">
        <f>F433+G433+H433</f>
        <v/>
      </c>
      <c r="J433" s="15">
        <f>ROUND((I433-23.3)/23.3*100,2)</f>
        <v/>
      </c>
      <c r="K433" s="15" t="inlineStr">
        <is>
          <t>Normal</t>
        </is>
      </c>
    </row>
    <row r="434" ht="15" customHeight="1" s="11">
      <c r="A434" s="13" t="n">
        <v>433</v>
      </c>
      <c r="B434" s="13" t="inlineStr">
        <is>
          <t>COW015</t>
        </is>
      </c>
      <c r="C434" s="13" t="inlineStr">
        <is>
          <t>RFID100015</t>
        </is>
      </c>
      <c r="D434" s="13" t="inlineStr">
        <is>
          <t>2024-01-13</t>
        </is>
      </c>
      <c r="E434" s="13" t="inlineStr">
        <is>
          <t>08:00</t>
        </is>
      </c>
      <c r="F434" s="13" t="n">
        <v>7.25</v>
      </c>
      <c r="G434" s="13" t="n">
        <v>8</v>
      </c>
      <c r="H434" s="13" t="n">
        <v>6.57</v>
      </c>
      <c r="I434" s="15">
        <f>F434+G434+H434</f>
        <v/>
      </c>
      <c r="J434" s="15">
        <f>ROUND((I434-23.3)/23.3*100,2)</f>
        <v/>
      </c>
      <c r="K434" s="15" t="inlineStr">
        <is>
          <t>Normal</t>
        </is>
      </c>
    </row>
    <row r="435" ht="15" customHeight="1" s="11">
      <c r="A435" s="14" t="n">
        <v>434</v>
      </c>
      <c r="B435" s="14" t="inlineStr">
        <is>
          <t>COW015</t>
        </is>
      </c>
      <c r="C435" s="14" t="inlineStr">
        <is>
          <t>RFID100015</t>
        </is>
      </c>
      <c r="D435" s="14" t="inlineStr">
        <is>
          <t>2024-01-14</t>
        </is>
      </c>
      <c r="E435" s="14" t="inlineStr">
        <is>
          <t>08:00</t>
        </is>
      </c>
      <c r="F435" s="14" t="n">
        <v>8.02</v>
      </c>
      <c r="G435" s="14" t="n">
        <v>7.21</v>
      </c>
      <c r="H435" s="14" t="n">
        <v>8.02</v>
      </c>
      <c r="I435" s="15">
        <f>F435+G435+H435</f>
        <v/>
      </c>
      <c r="J435" s="15">
        <f>ROUND((I435-23.3)/23.3*100,2)</f>
        <v/>
      </c>
      <c r="K435" s="15" t="inlineStr">
        <is>
          <t>Normal</t>
        </is>
      </c>
    </row>
    <row r="436" ht="15" customHeight="1" s="11">
      <c r="A436" s="13" t="n">
        <v>435</v>
      </c>
      <c r="B436" s="13" t="inlineStr">
        <is>
          <t>COW015</t>
        </is>
      </c>
      <c r="C436" s="13" t="inlineStr">
        <is>
          <t>RFID100015</t>
        </is>
      </c>
      <c r="D436" s="13" t="inlineStr">
        <is>
          <t>2024-01-15</t>
        </is>
      </c>
      <c r="E436" s="13" t="inlineStr">
        <is>
          <t>08:00</t>
        </is>
      </c>
      <c r="F436" s="13" t="n">
        <v>8.02</v>
      </c>
      <c r="G436" s="13" t="n">
        <v>7.66</v>
      </c>
      <c r="H436" s="13" t="n">
        <v>6.68</v>
      </c>
      <c r="I436" s="15">
        <f>F436+G436+H436</f>
        <v/>
      </c>
      <c r="J436" s="15">
        <f>ROUND((I436-23.3)/23.3*100,2)</f>
        <v/>
      </c>
      <c r="K436" s="15" t="inlineStr">
        <is>
          <t>Normal</t>
        </is>
      </c>
    </row>
    <row r="437" ht="15" customHeight="1" s="11">
      <c r="A437" s="14" t="n">
        <v>436</v>
      </c>
      <c r="B437" s="14" t="inlineStr">
        <is>
          <t>COW015</t>
        </is>
      </c>
      <c r="C437" s="14" t="inlineStr">
        <is>
          <t>RFID100015</t>
        </is>
      </c>
      <c r="D437" s="14" t="inlineStr">
        <is>
          <t>2024-01-16</t>
        </is>
      </c>
      <c r="E437" s="14" t="inlineStr">
        <is>
          <t>08:00</t>
        </is>
      </c>
      <c r="F437" s="14" t="n">
        <v>7.57</v>
      </c>
      <c r="G437" s="14" t="n">
        <v>8.390000000000001</v>
      </c>
      <c r="H437" s="14" t="n">
        <v>7.86</v>
      </c>
      <c r="I437" s="15">
        <f>F437+G437+H437</f>
        <v/>
      </c>
      <c r="J437" s="15">
        <f>ROUND((I437-23.3)/23.3*100,2)</f>
        <v/>
      </c>
      <c r="K437" s="15" t="inlineStr">
        <is>
          <t>Normal</t>
        </is>
      </c>
    </row>
    <row r="438" ht="15" customHeight="1" s="11">
      <c r="A438" s="13" t="n">
        <v>437</v>
      </c>
      <c r="B438" s="13" t="inlineStr">
        <is>
          <t>COW015</t>
        </is>
      </c>
      <c r="C438" s="13" t="inlineStr">
        <is>
          <t>RFID100015</t>
        </is>
      </c>
      <c r="D438" s="13" t="inlineStr">
        <is>
          <t>2024-01-17</t>
        </is>
      </c>
      <c r="E438" s="13" t="inlineStr">
        <is>
          <t>08:00</t>
        </is>
      </c>
      <c r="F438" s="13" t="n">
        <v>7.97</v>
      </c>
      <c r="G438" s="13" t="n">
        <v>7.96</v>
      </c>
      <c r="H438" s="13" t="n">
        <v>8.06</v>
      </c>
      <c r="I438" s="15">
        <f>F438+G438+H438</f>
        <v/>
      </c>
      <c r="J438" s="15">
        <f>ROUND((I438-23.3)/23.3*100,2)</f>
        <v/>
      </c>
      <c r="K438" s="15" t="inlineStr">
        <is>
          <t>Normal</t>
        </is>
      </c>
    </row>
    <row r="439" ht="15" customHeight="1" s="11">
      <c r="A439" s="14" t="n">
        <v>438</v>
      </c>
      <c r="B439" s="14" t="inlineStr">
        <is>
          <t>COW015</t>
        </is>
      </c>
      <c r="C439" s="14" t="inlineStr">
        <is>
          <t>RFID100015</t>
        </is>
      </c>
      <c r="D439" s="14" t="inlineStr">
        <is>
          <t>2024-01-18</t>
        </is>
      </c>
      <c r="E439" s="14" t="inlineStr">
        <is>
          <t>08:00</t>
        </is>
      </c>
      <c r="F439" s="14" t="n">
        <v>7.13</v>
      </c>
      <c r="G439" s="14" t="n">
        <v>8.34</v>
      </c>
      <c r="H439" s="14" t="n">
        <v>7.72</v>
      </c>
      <c r="I439" s="15">
        <f>F439+G439+H439</f>
        <v/>
      </c>
      <c r="J439" s="15">
        <f>ROUND((I439-23.3)/23.3*100,2)</f>
        <v/>
      </c>
      <c r="K439" s="15" t="inlineStr">
        <is>
          <t>Normal</t>
        </is>
      </c>
    </row>
    <row r="440" ht="15" customHeight="1" s="11">
      <c r="A440" s="13" t="n">
        <v>439</v>
      </c>
      <c r="B440" s="13" t="inlineStr">
        <is>
          <t>COW015</t>
        </is>
      </c>
      <c r="C440" s="13" t="inlineStr">
        <is>
          <t>RFID100015</t>
        </is>
      </c>
      <c r="D440" s="13" t="inlineStr">
        <is>
          <t>2024-01-19</t>
        </is>
      </c>
      <c r="E440" s="13" t="inlineStr">
        <is>
          <t>08:00</t>
        </is>
      </c>
      <c r="F440" s="13" t="n">
        <v>7.83</v>
      </c>
      <c r="G440" s="13" t="n">
        <v>7.79</v>
      </c>
      <c r="H440" s="13" t="n">
        <v>7.17</v>
      </c>
      <c r="I440" s="15">
        <f>F440+G440+H440</f>
        <v/>
      </c>
      <c r="J440" s="15">
        <f>ROUND((I440-23.3)/23.3*100,2)</f>
        <v/>
      </c>
      <c r="K440" s="15" t="inlineStr">
        <is>
          <t>Normal</t>
        </is>
      </c>
    </row>
    <row r="441" ht="15" customHeight="1" s="11">
      <c r="A441" s="14" t="n">
        <v>440</v>
      </c>
      <c r="B441" s="14" t="inlineStr">
        <is>
          <t>COW015</t>
        </is>
      </c>
      <c r="C441" s="14" t="inlineStr">
        <is>
          <t>RFID100015</t>
        </is>
      </c>
      <c r="D441" s="14" t="inlineStr">
        <is>
          <t>2024-01-20</t>
        </is>
      </c>
      <c r="E441" s="14" t="inlineStr">
        <is>
          <t>08:00</t>
        </is>
      </c>
      <c r="F441" s="14" t="n">
        <v>8.630000000000001</v>
      </c>
      <c r="G441" s="14" t="n">
        <v>7.98</v>
      </c>
      <c r="H441" s="14" t="n">
        <v>7.72</v>
      </c>
      <c r="I441" s="15">
        <f>F441+G441+H441</f>
        <v/>
      </c>
      <c r="J441" s="15">
        <f>ROUND((I441-23.3)/23.3*100,2)</f>
        <v/>
      </c>
      <c r="K441" s="15" t="inlineStr">
        <is>
          <t>Normal</t>
        </is>
      </c>
    </row>
    <row r="442" ht="15" customHeight="1" s="11">
      <c r="A442" s="13" t="n">
        <v>441</v>
      </c>
      <c r="B442" s="13" t="inlineStr">
        <is>
          <t>COW015</t>
        </is>
      </c>
      <c r="C442" s="13" t="inlineStr">
        <is>
          <t>RFID100015</t>
        </is>
      </c>
      <c r="D442" s="13" t="inlineStr">
        <is>
          <t>2024-01-21</t>
        </is>
      </c>
      <c r="E442" s="13" t="inlineStr">
        <is>
          <t>08:00</t>
        </is>
      </c>
      <c r="F442" s="13" t="n">
        <v>7.33</v>
      </c>
      <c r="G442" s="13" t="n">
        <v>8.33</v>
      </c>
      <c r="H442" s="13" t="n">
        <v>7.33</v>
      </c>
      <c r="I442" s="15">
        <f>F442+G442+H442</f>
        <v/>
      </c>
      <c r="J442" s="15">
        <f>ROUND((I442-23.3)/23.3*100,2)</f>
        <v/>
      </c>
      <c r="K442" s="15" t="inlineStr">
        <is>
          <t>Normal</t>
        </is>
      </c>
    </row>
    <row r="443" ht="15" customHeight="1" s="11">
      <c r="A443" s="14" t="n">
        <v>442</v>
      </c>
      <c r="B443" s="14" t="inlineStr">
        <is>
          <t>COW015</t>
        </is>
      </c>
      <c r="C443" s="14" t="inlineStr">
        <is>
          <t>RFID100015</t>
        </is>
      </c>
      <c r="D443" s="14" t="inlineStr">
        <is>
          <t>2024-01-22</t>
        </is>
      </c>
      <c r="E443" s="14" t="inlineStr">
        <is>
          <t>08:00</t>
        </is>
      </c>
      <c r="F443" s="14" t="n">
        <v>8.69</v>
      </c>
      <c r="G443" s="14" t="n">
        <v>6.63</v>
      </c>
      <c r="H443" s="14" t="n">
        <v>6.76</v>
      </c>
      <c r="I443" s="15">
        <f>F443+G443+H443</f>
        <v/>
      </c>
      <c r="J443" s="15">
        <f>ROUND((I443-23.3)/23.3*100,2)</f>
        <v/>
      </c>
      <c r="K443" s="15" t="inlineStr">
        <is>
          <t>Normal</t>
        </is>
      </c>
    </row>
    <row r="444" ht="15" customHeight="1" s="11">
      <c r="A444" s="13" t="n">
        <v>443</v>
      </c>
      <c r="B444" s="13" t="inlineStr">
        <is>
          <t>COW015</t>
        </is>
      </c>
      <c r="C444" s="13" t="inlineStr">
        <is>
          <t>RFID100015</t>
        </is>
      </c>
      <c r="D444" s="13" t="inlineStr">
        <is>
          <t>2024-01-23</t>
        </is>
      </c>
      <c r="E444" s="13" t="inlineStr">
        <is>
          <t>08:00</t>
        </is>
      </c>
      <c r="F444" s="13" t="n">
        <v>7.28</v>
      </c>
      <c r="G444" s="13" t="n">
        <v>6.83</v>
      </c>
      <c r="H444" s="13" t="n">
        <v>7.13</v>
      </c>
      <c r="I444" s="15">
        <f>F444+G444+H444</f>
        <v/>
      </c>
      <c r="J444" s="15">
        <f>ROUND((I444-23.3)/23.3*100,2)</f>
        <v/>
      </c>
      <c r="K444" s="15" t="inlineStr">
        <is>
          <t>Low intake</t>
        </is>
      </c>
    </row>
    <row r="445" ht="15" customHeight="1" s="11">
      <c r="A445" s="14" t="n">
        <v>444</v>
      </c>
      <c r="B445" s="14" t="inlineStr">
        <is>
          <t>COW015</t>
        </is>
      </c>
      <c r="C445" s="14" t="inlineStr">
        <is>
          <t>RFID100015</t>
        </is>
      </c>
      <c r="D445" s="14" t="inlineStr">
        <is>
          <t>2024-01-24</t>
        </is>
      </c>
      <c r="E445" s="14" t="inlineStr">
        <is>
          <t>08:00</t>
        </is>
      </c>
      <c r="F445" s="14" t="n">
        <v>8.31</v>
      </c>
      <c r="G445" s="14" t="n">
        <v>7.17</v>
      </c>
      <c r="H445" s="14" t="n">
        <v>8.279999999999999</v>
      </c>
      <c r="I445" s="15">
        <f>F445+G445+H445</f>
        <v/>
      </c>
      <c r="J445" s="15">
        <f>ROUND((I445-23.3)/23.3*100,2)</f>
        <v/>
      </c>
      <c r="K445" s="15" t="inlineStr">
        <is>
          <t>Normal</t>
        </is>
      </c>
    </row>
    <row r="446" ht="15" customHeight="1" s="11">
      <c r="A446" s="13" t="n">
        <v>445</v>
      </c>
      <c r="B446" s="13" t="inlineStr">
        <is>
          <t>COW015</t>
        </is>
      </c>
      <c r="C446" s="13" t="inlineStr">
        <is>
          <t>RFID100015</t>
        </is>
      </c>
      <c r="D446" s="13" t="inlineStr">
        <is>
          <t>2024-01-25</t>
        </is>
      </c>
      <c r="E446" s="13" t="inlineStr">
        <is>
          <t>08:00</t>
        </is>
      </c>
      <c r="F446" s="13" t="n">
        <v>8.66</v>
      </c>
      <c r="G446" s="13" t="n">
        <v>8.1</v>
      </c>
      <c r="H446" s="13" t="n">
        <v>6.99</v>
      </c>
      <c r="I446" s="15">
        <f>F446+G446+H446</f>
        <v/>
      </c>
      <c r="J446" s="15">
        <f>ROUND((I446-23.3)/23.3*100,2)</f>
        <v/>
      </c>
      <c r="K446" s="15" t="inlineStr">
        <is>
          <t>Normal</t>
        </is>
      </c>
    </row>
    <row r="447" ht="15" customHeight="1" s="11">
      <c r="A447" s="14" t="n">
        <v>446</v>
      </c>
      <c r="B447" s="14" t="inlineStr">
        <is>
          <t>COW015</t>
        </is>
      </c>
      <c r="C447" s="14" t="inlineStr">
        <is>
          <t>RFID100015</t>
        </is>
      </c>
      <c r="D447" s="14" t="inlineStr">
        <is>
          <t>2024-01-26</t>
        </is>
      </c>
      <c r="E447" s="14" t="inlineStr">
        <is>
          <t>08:00</t>
        </is>
      </c>
      <c r="F447" s="14" t="n">
        <v>8.17</v>
      </c>
      <c r="G447" s="14" t="n">
        <v>7.55</v>
      </c>
      <c r="H447" s="14" t="n">
        <v>6.76</v>
      </c>
      <c r="I447" s="15">
        <f>F447+G447+H447</f>
        <v/>
      </c>
      <c r="J447" s="15">
        <f>ROUND((I447-23.3)/23.3*100,2)</f>
        <v/>
      </c>
      <c r="K447" s="15" t="inlineStr">
        <is>
          <t>Normal</t>
        </is>
      </c>
    </row>
    <row r="448" ht="15" customHeight="1" s="11">
      <c r="A448" s="13" t="n">
        <v>447</v>
      </c>
      <c r="B448" s="13" t="inlineStr">
        <is>
          <t>COW015</t>
        </is>
      </c>
      <c r="C448" s="13" t="inlineStr">
        <is>
          <t>RFID100015</t>
        </is>
      </c>
      <c r="D448" s="13" t="inlineStr">
        <is>
          <t>2024-01-27</t>
        </is>
      </c>
      <c r="E448" s="13" t="inlineStr">
        <is>
          <t>08:00</t>
        </is>
      </c>
      <c r="F448" s="13" t="n">
        <v>7.55</v>
      </c>
      <c r="G448" s="13" t="n">
        <v>7.52</v>
      </c>
      <c r="H448" s="13" t="n">
        <v>7.46</v>
      </c>
      <c r="I448" s="15">
        <f>F448+G448+H448</f>
        <v/>
      </c>
      <c r="J448" s="15">
        <f>ROUND((I448-23.3)/23.3*100,2)</f>
        <v/>
      </c>
      <c r="K448" s="15" t="inlineStr">
        <is>
          <t>Normal</t>
        </is>
      </c>
    </row>
    <row r="449" ht="15" customHeight="1" s="11">
      <c r="A449" s="14" t="n">
        <v>448</v>
      </c>
      <c r="B449" s="14" t="inlineStr">
        <is>
          <t>COW015</t>
        </is>
      </c>
      <c r="C449" s="14" t="inlineStr">
        <is>
          <t>RFID100015</t>
        </is>
      </c>
      <c r="D449" s="14" t="inlineStr">
        <is>
          <t>2024-01-28</t>
        </is>
      </c>
      <c r="E449" s="14" t="inlineStr">
        <is>
          <t>08:00</t>
        </is>
      </c>
      <c r="F449" s="14" t="n">
        <v>7.3</v>
      </c>
      <c r="G449" s="14" t="n">
        <v>8.279999999999999</v>
      </c>
      <c r="H449" s="14" t="n">
        <v>6.81</v>
      </c>
      <c r="I449" s="15">
        <f>F449+G449+H449</f>
        <v/>
      </c>
      <c r="J449" s="15">
        <f>ROUND((I449-23.3)/23.3*100,2)</f>
        <v/>
      </c>
      <c r="K449" s="15" t="inlineStr">
        <is>
          <t>Normal</t>
        </is>
      </c>
    </row>
    <row r="450" ht="15" customHeight="1" s="11">
      <c r="A450" s="13" t="n">
        <v>449</v>
      </c>
      <c r="B450" s="13" t="inlineStr">
        <is>
          <t>COW015</t>
        </is>
      </c>
      <c r="C450" s="13" t="inlineStr">
        <is>
          <t>RFID100015</t>
        </is>
      </c>
      <c r="D450" s="13" t="inlineStr">
        <is>
          <t>2024-01-29</t>
        </is>
      </c>
      <c r="E450" s="13" t="inlineStr">
        <is>
          <t>08:00</t>
        </is>
      </c>
      <c r="F450" s="13" t="n">
        <v>8.220000000000001</v>
      </c>
      <c r="G450" s="13" t="n">
        <v>7.87</v>
      </c>
      <c r="H450" s="13" t="n">
        <v>7.65</v>
      </c>
      <c r="I450" s="15">
        <f>F450+G450+H450</f>
        <v/>
      </c>
      <c r="J450" s="15">
        <f>ROUND((I450-23.3)/23.3*100,2)</f>
        <v/>
      </c>
      <c r="K450" s="15" t="inlineStr">
        <is>
          <t>Normal</t>
        </is>
      </c>
    </row>
    <row r="451" ht="15" customHeight="1" s="11">
      <c r="A451" s="14" t="n">
        <v>450</v>
      </c>
      <c r="B451" s="14" t="inlineStr">
        <is>
          <t>COW015</t>
        </is>
      </c>
      <c r="C451" s="14" t="inlineStr">
        <is>
          <t>RFID100015</t>
        </is>
      </c>
      <c r="D451" s="14" t="inlineStr">
        <is>
          <t>2024-01-30</t>
        </is>
      </c>
      <c r="E451" s="14" t="inlineStr">
        <is>
          <t>08:00</t>
        </is>
      </c>
      <c r="F451" s="14" t="n">
        <v>8.56</v>
      </c>
      <c r="G451" s="14" t="n">
        <v>7.57</v>
      </c>
      <c r="H451" s="14" t="n">
        <v>8.06</v>
      </c>
      <c r="I451" s="15">
        <f>F451+G451+H451</f>
        <v/>
      </c>
      <c r="J451" s="15">
        <f>ROUND((I451-23.3)/23.3*100,2)</f>
        <v/>
      </c>
      <c r="K451" s="15" t="inlineStr">
        <is>
          <t>Normal</t>
        </is>
      </c>
    </row>
    <row r="452" ht="15" customHeight="1" s="11">
      <c r="A452" s="13" t="n">
        <v>451</v>
      </c>
      <c r="B452" s="13" t="inlineStr">
        <is>
          <t>COW016</t>
        </is>
      </c>
      <c r="C452" s="13" t="inlineStr">
        <is>
          <t>RFID100016</t>
        </is>
      </c>
      <c r="D452" s="13" t="inlineStr">
        <is>
          <t>2024-01-01</t>
        </is>
      </c>
      <c r="E452" s="13" t="inlineStr">
        <is>
          <t>08:00</t>
        </is>
      </c>
      <c r="F452" s="13" t="n">
        <v>5.56</v>
      </c>
      <c r="G452" s="13" t="n">
        <v>6.06</v>
      </c>
      <c r="H452" s="13" t="n">
        <v>5.97</v>
      </c>
      <c r="I452" s="15">
        <f>F452+G452+H452</f>
        <v/>
      </c>
      <c r="J452" s="15">
        <f>ROUND((I452-18.3)/18.3*100,2)</f>
        <v/>
      </c>
      <c r="K452" s="15" t="inlineStr">
        <is>
          <t>Normal</t>
        </is>
      </c>
    </row>
    <row r="453" ht="15" customHeight="1" s="11">
      <c r="A453" s="14" t="n">
        <v>452</v>
      </c>
      <c r="B453" s="14" t="inlineStr">
        <is>
          <t>COW016</t>
        </is>
      </c>
      <c r="C453" s="14" t="inlineStr">
        <is>
          <t>RFID100016</t>
        </is>
      </c>
      <c r="D453" s="14" t="inlineStr">
        <is>
          <t>2024-01-02</t>
        </is>
      </c>
      <c r="E453" s="14" t="inlineStr">
        <is>
          <t>08:00</t>
        </is>
      </c>
      <c r="F453" s="14" t="n">
        <v>6.44</v>
      </c>
      <c r="G453" s="14" t="n">
        <v>6.25</v>
      </c>
      <c r="H453" s="14" t="n">
        <v>5.73</v>
      </c>
      <c r="I453" s="15">
        <f>F453+G453+H453</f>
        <v/>
      </c>
      <c r="J453" s="15">
        <f>ROUND((I453-18.3)/18.3*100,2)</f>
        <v/>
      </c>
      <c r="K453" s="15" t="inlineStr">
        <is>
          <t>Normal</t>
        </is>
      </c>
    </row>
    <row r="454" ht="15" customHeight="1" s="11">
      <c r="A454" s="13" t="n">
        <v>453</v>
      </c>
      <c r="B454" s="13" t="inlineStr">
        <is>
          <t>COW016</t>
        </is>
      </c>
      <c r="C454" s="13" t="inlineStr">
        <is>
          <t>RFID100016</t>
        </is>
      </c>
      <c r="D454" s="13" t="inlineStr">
        <is>
          <t>2024-01-03</t>
        </is>
      </c>
      <c r="E454" s="13" t="inlineStr">
        <is>
          <t>08:00</t>
        </is>
      </c>
      <c r="F454" s="13" t="n">
        <v>6.43</v>
      </c>
      <c r="G454" s="13" t="n">
        <v>5.85</v>
      </c>
      <c r="H454" s="13" t="n">
        <v>6.04</v>
      </c>
      <c r="I454" s="15">
        <f>F454+G454+H454</f>
        <v/>
      </c>
      <c r="J454" s="15">
        <f>ROUND((I454-18.3)/18.3*100,2)</f>
        <v/>
      </c>
      <c r="K454" s="15" t="inlineStr">
        <is>
          <t>Normal</t>
        </is>
      </c>
    </row>
    <row r="455" ht="15" customHeight="1" s="11">
      <c r="A455" s="14" t="n">
        <v>454</v>
      </c>
      <c r="B455" s="14" t="inlineStr">
        <is>
          <t>COW016</t>
        </is>
      </c>
      <c r="C455" s="14" t="inlineStr">
        <is>
          <t>RFID100016</t>
        </is>
      </c>
      <c r="D455" s="14" t="inlineStr">
        <is>
          <t>2024-01-04</t>
        </is>
      </c>
      <c r="E455" s="14" t="inlineStr">
        <is>
          <t>08:00</t>
        </is>
      </c>
      <c r="F455" s="14" t="n">
        <v>5.91</v>
      </c>
      <c r="G455" s="14" t="n">
        <v>6.52</v>
      </c>
      <c r="H455" s="14" t="n">
        <v>5.83</v>
      </c>
      <c r="I455" s="15">
        <f>F455+G455+H455</f>
        <v/>
      </c>
      <c r="J455" s="15">
        <f>ROUND((I455-18.3)/18.3*100,2)</f>
        <v/>
      </c>
      <c r="K455" s="15" t="inlineStr">
        <is>
          <t>Normal</t>
        </is>
      </c>
    </row>
    <row r="456" ht="15" customHeight="1" s="11">
      <c r="A456" s="13" t="n">
        <v>455</v>
      </c>
      <c r="B456" s="13" t="inlineStr">
        <is>
          <t>COW016</t>
        </is>
      </c>
      <c r="C456" s="13" t="inlineStr">
        <is>
          <t>RFID100016</t>
        </is>
      </c>
      <c r="D456" s="13" t="inlineStr">
        <is>
          <t>2024-01-05</t>
        </is>
      </c>
      <c r="E456" s="13" t="inlineStr">
        <is>
          <t>08:00</t>
        </is>
      </c>
      <c r="F456" s="13" t="n">
        <v>6.67</v>
      </c>
      <c r="G456" s="13" t="n">
        <v>6.13</v>
      </c>
      <c r="H456" s="13" t="n">
        <v>5.56</v>
      </c>
      <c r="I456" s="15">
        <f>F456+G456+H456</f>
        <v/>
      </c>
      <c r="J456" s="15">
        <f>ROUND((I456-18.3)/18.3*100,2)</f>
        <v/>
      </c>
      <c r="K456" s="15" t="inlineStr">
        <is>
          <t>Normal</t>
        </is>
      </c>
    </row>
    <row r="457" ht="15" customHeight="1" s="11">
      <c r="A457" s="14" t="n">
        <v>456</v>
      </c>
      <c r="B457" s="14" t="inlineStr">
        <is>
          <t>COW016</t>
        </is>
      </c>
      <c r="C457" s="14" t="inlineStr">
        <is>
          <t>RFID100016</t>
        </is>
      </c>
      <c r="D457" s="14" t="inlineStr">
        <is>
          <t>2024-01-06</t>
        </is>
      </c>
      <c r="E457" s="14" t="inlineStr">
        <is>
          <t>08:00</t>
        </is>
      </c>
      <c r="F457" s="14" t="n">
        <v>5.6</v>
      </c>
      <c r="G457" s="14" t="n">
        <v>5.21</v>
      </c>
      <c r="H457" s="14" t="n">
        <v>5.77</v>
      </c>
      <c r="I457" s="15">
        <f>F457+G457+H457</f>
        <v/>
      </c>
      <c r="J457" s="15">
        <f>ROUND((I457-18.3)/18.3*100,2)</f>
        <v/>
      </c>
      <c r="K457" s="15" t="inlineStr">
        <is>
          <t>Normal</t>
        </is>
      </c>
    </row>
    <row r="458" ht="15" customHeight="1" s="11">
      <c r="A458" s="13" t="n">
        <v>457</v>
      </c>
      <c r="B458" s="13" t="inlineStr">
        <is>
          <t>COW016</t>
        </is>
      </c>
      <c r="C458" s="13" t="inlineStr">
        <is>
          <t>RFID100016</t>
        </is>
      </c>
      <c r="D458" s="13" t="inlineStr">
        <is>
          <t>2024-01-07</t>
        </is>
      </c>
      <c r="E458" s="13" t="inlineStr">
        <is>
          <t>08:00</t>
        </is>
      </c>
      <c r="F458" s="13" t="n">
        <v>6.2</v>
      </c>
      <c r="G458" s="13" t="n">
        <v>5.42</v>
      </c>
      <c r="H458" s="13" t="n">
        <v>6.01</v>
      </c>
      <c r="I458" s="15">
        <f>F458+G458+H458</f>
        <v/>
      </c>
      <c r="J458" s="15">
        <f>ROUND((I458-18.3)/18.3*100,2)</f>
        <v/>
      </c>
      <c r="K458" s="15" t="inlineStr">
        <is>
          <t>Normal</t>
        </is>
      </c>
    </row>
    <row r="459" ht="15" customHeight="1" s="11">
      <c r="A459" s="14" t="n">
        <v>458</v>
      </c>
      <c r="B459" s="14" t="inlineStr">
        <is>
          <t>COW016</t>
        </is>
      </c>
      <c r="C459" s="14" t="inlineStr">
        <is>
          <t>RFID100016</t>
        </is>
      </c>
      <c r="D459" s="14" t="inlineStr">
        <is>
          <t>2024-01-08</t>
        </is>
      </c>
      <c r="E459" s="14" t="inlineStr">
        <is>
          <t>08:00</t>
        </is>
      </c>
      <c r="F459" s="14" t="n">
        <v>5.95</v>
      </c>
      <c r="G459" s="14" t="n">
        <v>6.18</v>
      </c>
      <c r="H459" s="14" t="n">
        <v>6.2</v>
      </c>
      <c r="I459" s="15">
        <f>F459+G459+H459</f>
        <v/>
      </c>
      <c r="J459" s="15">
        <f>ROUND((I459-18.3)/18.3*100,2)</f>
        <v/>
      </c>
      <c r="K459" s="15" t="inlineStr">
        <is>
          <t>Normal</t>
        </is>
      </c>
    </row>
    <row r="460" ht="15" customHeight="1" s="11">
      <c r="A460" s="13" t="n">
        <v>459</v>
      </c>
      <c r="B460" s="13" t="inlineStr">
        <is>
          <t>COW016</t>
        </is>
      </c>
      <c r="C460" s="13" t="inlineStr">
        <is>
          <t>RFID100016</t>
        </is>
      </c>
      <c r="D460" s="13" t="inlineStr">
        <is>
          <t>2024-01-09</t>
        </is>
      </c>
      <c r="E460" s="13" t="inlineStr">
        <is>
          <t>08:00</t>
        </is>
      </c>
      <c r="F460" s="13" t="n">
        <v>6.75</v>
      </c>
      <c r="G460" s="13" t="n">
        <v>6.55</v>
      </c>
      <c r="H460" s="13" t="n">
        <v>5.32</v>
      </c>
      <c r="I460" s="15">
        <f>F460+G460+H460</f>
        <v/>
      </c>
      <c r="J460" s="15">
        <f>ROUND((I460-18.3)/18.3*100,2)</f>
        <v/>
      </c>
      <c r="K460" s="15" t="inlineStr">
        <is>
          <t>Normal</t>
        </is>
      </c>
    </row>
    <row r="461" ht="15" customHeight="1" s="11">
      <c r="A461" s="14" t="n">
        <v>460</v>
      </c>
      <c r="B461" s="14" t="inlineStr">
        <is>
          <t>COW016</t>
        </is>
      </c>
      <c r="C461" s="14" t="inlineStr">
        <is>
          <t>RFID100016</t>
        </is>
      </c>
      <c r="D461" s="14" t="inlineStr">
        <is>
          <t>2024-01-10</t>
        </is>
      </c>
      <c r="E461" s="14" t="inlineStr">
        <is>
          <t>08:00</t>
        </is>
      </c>
      <c r="F461" s="14" t="n">
        <v>6.03</v>
      </c>
      <c r="G461" s="14" t="n">
        <v>5.95</v>
      </c>
      <c r="H461" s="14" t="n">
        <v>5.59</v>
      </c>
      <c r="I461" s="15">
        <f>F461+G461+H461</f>
        <v/>
      </c>
      <c r="J461" s="15">
        <f>ROUND((I461-18.3)/18.3*100,2)</f>
        <v/>
      </c>
      <c r="K461" s="15" t="inlineStr">
        <is>
          <t>Normal</t>
        </is>
      </c>
    </row>
    <row r="462" ht="15" customHeight="1" s="11">
      <c r="A462" s="13" t="n">
        <v>461</v>
      </c>
      <c r="B462" s="13" t="inlineStr">
        <is>
          <t>COW016</t>
        </is>
      </c>
      <c r="C462" s="13" t="inlineStr">
        <is>
          <t>RFID100016</t>
        </is>
      </c>
      <c r="D462" s="13" t="inlineStr">
        <is>
          <t>2024-01-11</t>
        </is>
      </c>
      <c r="E462" s="13" t="inlineStr">
        <is>
          <t>08:00</t>
        </is>
      </c>
      <c r="F462" s="13" t="n">
        <v>6.17</v>
      </c>
      <c r="G462" s="13" t="n">
        <v>5.52</v>
      </c>
      <c r="H462" s="13" t="n">
        <v>5.49</v>
      </c>
      <c r="I462" s="15">
        <f>F462+G462+H462</f>
        <v/>
      </c>
      <c r="J462" s="15">
        <f>ROUND((I462-18.3)/18.3*100,2)</f>
        <v/>
      </c>
      <c r="K462" s="15" t="inlineStr">
        <is>
          <t>Normal</t>
        </is>
      </c>
    </row>
    <row r="463" ht="15" customHeight="1" s="11">
      <c r="A463" s="14" t="n">
        <v>462</v>
      </c>
      <c r="B463" s="14" t="inlineStr">
        <is>
          <t>COW016</t>
        </is>
      </c>
      <c r="C463" s="14" t="inlineStr">
        <is>
          <t>RFID100016</t>
        </is>
      </c>
      <c r="D463" s="14" t="inlineStr">
        <is>
          <t>2024-01-12</t>
        </is>
      </c>
      <c r="E463" s="14" t="inlineStr">
        <is>
          <t>08:00</t>
        </is>
      </c>
      <c r="F463" s="14" t="n">
        <v>5.63</v>
      </c>
      <c r="G463" s="14" t="n">
        <v>5.55</v>
      </c>
      <c r="H463" s="14" t="n">
        <v>5.69</v>
      </c>
      <c r="I463" s="15">
        <f>F463+G463+H463</f>
        <v/>
      </c>
      <c r="J463" s="15">
        <f>ROUND((I463-18.3)/18.3*100,2)</f>
        <v/>
      </c>
      <c r="K463" s="15" t="inlineStr">
        <is>
          <t>Normal</t>
        </is>
      </c>
    </row>
    <row r="464" ht="15" customHeight="1" s="11">
      <c r="A464" s="13" t="n">
        <v>463</v>
      </c>
      <c r="B464" s="13" t="inlineStr">
        <is>
          <t>COW016</t>
        </is>
      </c>
      <c r="C464" s="13" t="inlineStr">
        <is>
          <t>RFID100016</t>
        </is>
      </c>
      <c r="D464" s="13" t="inlineStr">
        <is>
          <t>2024-01-13</t>
        </is>
      </c>
      <c r="E464" s="13" t="inlineStr">
        <is>
          <t>08:00</t>
        </is>
      </c>
      <c r="F464" s="13" t="n">
        <v>6.39</v>
      </c>
      <c r="G464" s="13" t="n">
        <v>5.49</v>
      </c>
      <c r="H464" s="13" t="n">
        <v>6.39</v>
      </c>
      <c r="I464" s="15">
        <f>F464+G464+H464</f>
        <v/>
      </c>
      <c r="J464" s="15">
        <f>ROUND((I464-18.3)/18.3*100,2)</f>
        <v/>
      </c>
      <c r="K464" s="15" t="inlineStr">
        <is>
          <t>Normal</t>
        </is>
      </c>
    </row>
    <row r="465" ht="15" customHeight="1" s="11">
      <c r="A465" s="14" t="n">
        <v>464</v>
      </c>
      <c r="B465" s="14" t="inlineStr">
        <is>
          <t>COW016</t>
        </is>
      </c>
      <c r="C465" s="14" t="inlineStr">
        <is>
          <t>RFID100016</t>
        </is>
      </c>
      <c r="D465" s="14" t="inlineStr">
        <is>
          <t>2024-01-14</t>
        </is>
      </c>
      <c r="E465" s="14" t="inlineStr">
        <is>
          <t>08:00</t>
        </is>
      </c>
      <c r="F465" s="14" t="n">
        <v>5.72</v>
      </c>
      <c r="G465" s="14" t="n">
        <v>5.6</v>
      </c>
      <c r="H465" s="14" t="n">
        <v>5.97</v>
      </c>
      <c r="I465" s="15">
        <f>F465+G465+H465</f>
        <v/>
      </c>
      <c r="J465" s="15">
        <f>ROUND((I465-18.3)/18.3*100,2)</f>
        <v/>
      </c>
      <c r="K465" s="15" t="inlineStr">
        <is>
          <t>Normal</t>
        </is>
      </c>
    </row>
    <row r="466" ht="15" customHeight="1" s="11">
      <c r="A466" s="13" t="n">
        <v>465</v>
      </c>
      <c r="B466" s="13" t="inlineStr">
        <is>
          <t>COW016</t>
        </is>
      </c>
      <c r="C466" s="13" t="inlineStr">
        <is>
          <t>RFID100016</t>
        </is>
      </c>
      <c r="D466" s="13" t="inlineStr">
        <is>
          <t>2024-01-15</t>
        </is>
      </c>
      <c r="E466" s="13" t="inlineStr">
        <is>
          <t>08:00</t>
        </is>
      </c>
      <c r="F466" s="13" t="n">
        <v>5.95</v>
      </c>
      <c r="G466" s="13" t="n">
        <v>6.24</v>
      </c>
      <c r="H466" s="13" t="n">
        <v>5.85</v>
      </c>
      <c r="I466" s="15">
        <f>F466+G466+H466</f>
        <v/>
      </c>
      <c r="J466" s="15">
        <f>ROUND((I466-18.3)/18.3*100,2)</f>
        <v/>
      </c>
      <c r="K466" s="15" t="inlineStr">
        <is>
          <t>Normal</t>
        </is>
      </c>
    </row>
    <row r="467" ht="15" customHeight="1" s="11">
      <c r="A467" s="14" t="n">
        <v>466</v>
      </c>
      <c r="B467" s="14" t="inlineStr">
        <is>
          <t>COW016</t>
        </is>
      </c>
      <c r="C467" s="14" t="inlineStr">
        <is>
          <t>RFID100016</t>
        </is>
      </c>
      <c r="D467" s="14" t="inlineStr">
        <is>
          <t>2024-01-16</t>
        </is>
      </c>
      <c r="E467" s="14" t="inlineStr">
        <is>
          <t>08:00</t>
        </is>
      </c>
      <c r="F467" s="14" t="n">
        <v>6.24</v>
      </c>
      <c r="G467" s="14" t="n">
        <v>5.85</v>
      </c>
      <c r="H467" s="14" t="n">
        <v>5.58</v>
      </c>
      <c r="I467" s="15">
        <f>F467+G467+H467</f>
        <v/>
      </c>
      <c r="J467" s="15">
        <f>ROUND((I467-18.3)/18.3*100,2)</f>
        <v/>
      </c>
      <c r="K467" s="15" t="inlineStr">
        <is>
          <t>Normal</t>
        </is>
      </c>
    </row>
    <row r="468" ht="15" customHeight="1" s="11">
      <c r="A468" s="13" t="n">
        <v>467</v>
      </c>
      <c r="B468" s="13" t="inlineStr">
        <is>
          <t>COW016</t>
        </is>
      </c>
      <c r="C468" s="13" t="inlineStr">
        <is>
          <t>RFID100016</t>
        </is>
      </c>
      <c r="D468" s="13" t="inlineStr">
        <is>
          <t>2024-01-17</t>
        </is>
      </c>
      <c r="E468" s="13" t="inlineStr">
        <is>
          <t>08:00</t>
        </is>
      </c>
      <c r="F468" s="13" t="n">
        <v>5.52</v>
      </c>
      <c r="G468" s="13" t="n">
        <v>6.51</v>
      </c>
      <c r="H468" s="13" t="n">
        <v>5.86</v>
      </c>
      <c r="I468" s="15">
        <f>F468+G468+H468</f>
        <v/>
      </c>
      <c r="J468" s="15">
        <f>ROUND((I468-18.3)/18.3*100,2)</f>
        <v/>
      </c>
      <c r="K468" s="15" t="inlineStr">
        <is>
          <t>Normal</t>
        </is>
      </c>
    </row>
    <row r="469" ht="15" customHeight="1" s="11">
      <c r="A469" s="14" t="n">
        <v>468</v>
      </c>
      <c r="B469" s="14" t="inlineStr">
        <is>
          <t>COW016</t>
        </is>
      </c>
      <c r="C469" s="14" t="inlineStr">
        <is>
          <t>RFID100016</t>
        </is>
      </c>
      <c r="D469" s="14" t="inlineStr">
        <is>
          <t>2024-01-18</t>
        </is>
      </c>
      <c r="E469" s="14" t="inlineStr">
        <is>
          <t>08:00</t>
        </is>
      </c>
      <c r="F469" s="14" t="n">
        <v>6.91</v>
      </c>
      <c r="G469" s="14" t="n">
        <v>5.44</v>
      </c>
      <c r="H469" s="14" t="n">
        <v>5.64</v>
      </c>
      <c r="I469" s="15">
        <f>F469+G469+H469</f>
        <v/>
      </c>
      <c r="J469" s="15">
        <f>ROUND((I469-18.3)/18.3*100,2)</f>
        <v/>
      </c>
      <c r="K469" s="15" t="inlineStr">
        <is>
          <t>Normal</t>
        </is>
      </c>
    </row>
    <row r="470" ht="15" customHeight="1" s="11">
      <c r="A470" s="13" t="n">
        <v>469</v>
      </c>
      <c r="B470" s="13" t="inlineStr">
        <is>
          <t>COW016</t>
        </is>
      </c>
      <c r="C470" s="13" t="inlineStr">
        <is>
          <t>RFID100016</t>
        </is>
      </c>
      <c r="D470" s="13" t="inlineStr">
        <is>
          <t>2024-01-19</t>
        </is>
      </c>
      <c r="E470" s="13" t="inlineStr">
        <is>
          <t>08:00</t>
        </is>
      </c>
      <c r="F470" s="13" t="n">
        <v>5.56</v>
      </c>
      <c r="G470" s="13" t="n">
        <v>5.85</v>
      </c>
      <c r="H470" s="13" t="n">
        <v>6.42</v>
      </c>
      <c r="I470" s="15">
        <f>F470+G470+H470</f>
        <v/>
      </c>
      <c r="J470" s="15">
        <f>ROUND((I470-18.3)/18.3*100,2)</f>
        <v/>
      </c>
      <c r="K470" s="15" t="inlineStr">
        <is>
          <t>Normal</t>
        </is>
      </c>
    </row>
    <row r="471" ht="15" customHeight="1" s="11">
      <c r="A471" s="14" t="n">
        <v>470</v>
      </c>
      <c r="B471" s="14" t="inlineStr">
        <is>
          <t>COW016</t>
        </is>
      </c>
      <c r="C471" s="14" t="inlineStr">
        <is>
          <t>RFID100016</t>
        </is>
      </c>
      <c r="D471" s="14" t="inlineStr">
        <is>
          <t>2024-01-20</t>
        </is>
      </c>
      <c r="E471" s="14" t="inlineStr">
        <is>
          <t>08:00</t>
        </is>
      </c>
      <c r="F471" s="14" t="n">
        <v>6.45</v>
      </c>
      <c r="G471" s="14" t="n">
        <v>5.81</v>
      </c>
      <c r="H471" s="14" t="n">
        <v>5.91</v>
      </c>
      <c r="I471" s="15">
        <f>F471+G471+H471</f>
        <v/>
      </c>
      <c r="J471" s="15">
        <f>ROUND((I471-18.3)/18.3*100,2)</f>
        <v/>
      </c>
      <c r="K471" s="15" t="inlineStr">
        <is>
          <t>Normal</t>
        </is>
      </c>
    </row>
    <row r="472" ht="15" customHeight="1" s="11">
      <c r="A472" s="13" t="n">
        <v>471</v>
      </c>
      <c r="B472" s="13" t="inlineStr">
        <is>
          <t>COW016</t>
        </is>
      </c>
      <c r="C472" s="13" t="inlineStr">
        <is>
          <t>RFID100016</t>
        </is>
      </c>
      <c r="D472" s="13" t="inlineStr">
        <is>
          <t>2024-01-21</t>
        </is>
      </c>
      <c r="E472" s="13" t="inlineStr">
        <is>
          <t>08:00</t>
        </is>
      </c>
      <c r="F472" s="13" t="n">
        <v>6.73</v>
      </c>
      <c r="G472" s="13" t="n">
        <v>5.75</v>
      </c>
      <c r="H472" s="13" t="n">
        <v>6.42</v>
      </c>
      <c r="I472" s="15">
        <f>F472+G472+H472</f>
        <v/>
      </c>
      <c r="J472" s="15">
        <f>ROUND((I472-18.3)/18.3*100,2)</f>
        <v/>
      </c>
      <c r="K472" s="15" t="inlineStr">
        <is>
          <t>Normal</t>
        </is>
      </c>
    </row>
    <row r="473" ht="15" customHeight="1" s="11">
      <c r="A473" s="14" t="n">
        <v>472</v>
      </c>
      <c r="B473" s="14" t="inlineStr">
        <is>
          <t>COW016</t>
        </is>
      </c>
      <c r="C473" s="14" t="inlineStr">
        <is>
          <t>RFID100016</t>
        </is>
      </c>
      <c r="D473" s="14" t="inlineStr">
        <is>
          <t>2024-01-22</t>
        </is>
      </c>
      <c r="E473" s="14" t="inlineStr">
        <is>
          <t>08:00</t>
        </is>
      </c>
      <c r="F473" s="14" t="n">
        <v>6.56</v>
      </c>
      <c r="G473" s="14" t="n">
        <v>6.24</v>
      </c>
      <c r="H473" s="14" t="n">
        <v>5.66</v>
      </c>
      <c r="I473" s="15">
        <f>F473+G473+H473</f>
        <v/>
      </c>
      <c r="J473" s="15">
        <f>ROUND((I473-18.3)/18.3*100,2)</f>
        <v/>
      </c>
      <c r="K473" s="15" t="inlineStr">
        <is>
          <t>Normal</t>
        </is>
      </c>
    </row>
    <row r="474" ht="15" customHeight="1" s="11">
      <c r="A474" s="13" t="n">
        <v>473</v>
      </c>
      <c r="B474" s="13" t="inlineStr">
        <is>
          <t>COW016</t>
        </is>
      </c>
      <c r="C474" s="13" t="inlineStr">
        <is>
          <t>RFID100016</t>
        </is>
      </c>
      <c r="D474" s="13" t="inlineStr">
        <is>
          <t>2024-01-23</t>
        </is>
      </c>
      <c r="E474" s="13" t="inlineStr">
        <is>
          <t>08:00</t>
        </is>
      </c>
      <c r="F474" s="13" t="n">
        <v>6.08</v>
      </c>
      <c r="G474" s="13" t="n">
        <v>5.96</v>
      </c>
      <c r="H474" s="13" t="n">
        <v>5.41</v>
      </c>
      <c r="I474" s="15">
        <f>F474+G474+H474</f>
        <v/>
      </c>
      <c r="J474" s="15">
        <f>ROUND((I474-18.3)/18.3*100,2)</f>
        <v/>
      </c>
      <c r="K474" s="15" t="inlineStr">
        <is>
          <t>Normal</t>
        </is>
      </c>
    </row>
    <row r="475" ht="15" customHeight="1" s="11">
      <c r="A475" s="14" t="n">
        <v>474</v>
      </c>
      <c r="B475" s="14" t="inlineStr">
        <is>
          <t>COW016</t>
        </is>
      </c>
      <c r="C475" s="14" t="inlineStr">
        <is>
          <t>RFID100016</t>
        </is>
      </c>
      <c r="D475" s="14" t="inlineStr">
        <is>
          <t>2024-01-24</t>
        </is>
      </c>
      <c r="E475" s="14" t="inlineStr">
        <is>
          <t>08:00</t>
        </is>
      </c>
      <c r="F475" s="14" t="n">
        <v>6.3</v>
      </c>
      <c r="G475" s="14" t="n">
        <v>5.23</v>
      </c>
      <c r="H475" s="14" t="n">
        <v>5.86</v>
      </c>
      <c r="I475" s="15">
        <f>F475+G475+H475</f>
        <v/>
      </c>
      <c r="J475" s="15">
        <f>ROUND((I475-18.3)/18.3*100,2)</f>
        <v/>
      </c>
      <c r="K475" s="15" t="inlineStr">
        <is>
          <t>Normal</t>
        </is>
      </c>
    </row>
    <row r="476" ht="15" customHeight="1" s="11">
      <c r="A476" s="13" t="n">
        <v>475</v>
      </c>
      <c r="B476" s="13" t="inlineStr">
        <is>
          <t>COW016</t>
        </is>
      </c>
      <c r="C476" s="13" t="inlineStr">
        <is>
          <t>RFID100016</t>
        </is>
      </c>
      <c r="D476" s="13" t="inlineStr">
        <is>
          <t>2024-01-25</t>
        </is>
      </c>
      <c r="E476" s="13" t="inlineStr">
        <is>
          <t>08:00</t>
        </is>
      </c>
      <c r="F476" s="13" t="n">
        <v>6.61</v>
      </c>
      <c r="G476" s="13" t="n">
        <v>5.53</v>
      </c>
      <c r="H476" s="13" t="n">
        <v>6.57</v>
      </c>
      <c r="I476" s="15">
        <f>F476+G476+H476</f>
        <v/>
      </c>
      <c r="J476" s="15">
        <f>ROUND((I476-18.3)/18.3*100,2)</f>
        <v/>
      </c>
      <c r="K476" s="15" t="inlineStr">
        <is>
          <t>Normal</t>
        </is>
      </c>
    </row>
    <row r="477" ht="15" customHeight="1" s="11">
      <c r="A477" s="14" t="n">
        <v>476</v>
      </c>
      <c r="B477" s="14" t="inlineStr">
        <is>
          <t>COW016</t>
        </is>
      </c>
      <c r="C477" s="14" t="inlineStr">
        <is>
          <t>RFID100016</t>
        </is>
      </c>
      <c r="D477" s="14" t="inlineStr">
        <is>
          <t>2024-01-26</t>
        </is>
      </c>
      <c r="E477" s="14" t="inlineStr">
        <is>
          <t>08:00</t>
        </is>
      </c>
      <c r="F477" s="14" t="n">
        <v>6.49</v>
      </c>
      <c r="G477" s="14" t="n">
        <v>5.3</v>
      </c>
      <c r="H477" s="14" t="n">
        <v>6.55</v>
      </c>
      <c r="I477" s="15">
        <f>F477+G477+H477</f>
        <v/>
      </c>
      <c r="J477" s="15">
        <f>ROUND((I477-18.3)/18.3*100,2)</f>
        <v/>
      </c>
      <c r="K477" s="15" t="inlineStr">
        <is>
          <t>Normal</t>
        </is>
      </c>
    </row>
    <row r="478" ht="15" customHeight="1" s="11">
      <c r="A478" s="13" t="n">
        <v>477</v>
      </c>
      <c r="B478" s="13" t="inlineStr">
        <is>
          <t>COW016</t>
        </is>
      </c>
      <c r="C478" s="13" t="inlineStr">
        <is>
          <t>RFID100016</t>
        </is>
      </c>
      <c r="D478" s="13" t="inlineStr">
        <is>
          <t>2024-01-27</t>
        </is>
      </c>
      <c r="E478" s="13" t="inlineStr">
        <is>
          <t>08:00</t>
        </is>
      </c>
      <c r="F478" s="13" t="n">
        <v>6.07</v>
      </c>
      <c r="G478" s="13" t="n">
        <v>6.29</v>
      </c>
      <c r="H478" s="13" t="n">
        <v>5.62</v>
      </c>
      <c r="I478" s="15">
        <f>F478+G478+H478</f>
        <v/>
      </c>
      <c r="J478" s="15">
        <f>ROUND((I478-18.3)/18.3*100,2)</f>
        <v/>
      </c>
      <c r="K478" s="15" t="inlineStr">
        <is>
          <t>Normal</t>
        </is>
      </c>
    </row>
    <row r="479" ht="15" customHeight="1" s="11">
      <c r="A479" s="14" t="n">
        <v>478</v>
      </c>
      <c r="B479" s="14" t="inlineStr">
        <is>
          <t>COW016</t>
        </is>
      </c>
      <c r="C479" s="14" t="inlineStr">
        <is>
          <t>RFID100016</t>
        </is>
      </c>
      <c r="D479" s="14" t="inlineStr">
        <is>
          <t>2024-01-28</t>
        </is>
      </c>
      <c r="E479" s="14" t="inlineStr">
        <is>
          <t>08:00</t>
        </is>
      </c>
      <c r="F479" s="14" t="n">
        <v>6.86</v>
      </c>
      <c r="G479" s="14" t="n">
        <v>6.23</v>
      </c>
      <c r="H479" s="14" t="n">
        <v>5.42</v>
      </c>
      <c r="I479" s="15">
        <f>F479+G479+H479</f>
        <v/>
      </c>
      <c r="J479" s="15">
        <f>ROUND((I479-18.3)/18.3*100,2)</f>
        <v/>
      </c>
      <c r="K479" s="15" t="inlineStr">
        <is>
          <t>Normal</t>
        </is>
      </c>
    </row>
    <row r="480" ht="15" customHeight="1" s="11">
      <c r="A480" s="13" t="n">
        <v>479</v>
      </c>
      <c r="B480" s="13" t="inlineStr">
        <is>
          <t>COW016</t>
        </is>
      </c>
      <c r="C480" s="13" t="inlineStr">
        <is>
          <t>RFID100016</t>
        </is>
      </c>
      <c r="D480" s="13" t="inlineStr">
        <is>
          <t>2024-01-29</t>
        </is>
      </c>
      <c r="E480" s="13" t="inlineStr">
        <is>
          <t>08:00</t>
        </is>
      </c>
      <c r="F480" s="13" t="n">
        <v>6.24</v>
      </c>
      <c r="G480" s="13" t="n">
        <v>5.86</v>
      </c>
      <c r="H480" s="13" t="n">
        <v>5.19</v>
      </c>
      <c r="I480" s="15">
        <f>F480+G480+H480</f>
        <v/>
      </c>
      <c r="J480" s="15">
        <f>ROUND((I480-18.3)/18.3*100,2)</f>
        <v/>
      </c>
      <c r="K480" s="15" t="inlineStr">
        <is>
          <t>Normal</t>
        </is>
      </c>
    </row>
    <row r="481" ht="15" customHeight="1" s="11">
      <c r="A481" s="14" t="n">
        <v>480</v>
      </c>
      <c r="B481" s="14" t="inlineStr">
        <is>
          <t>COW016</t>
        </is>
      </c>
      <c r="C481" s="14" t="inlineStr">
        <is>
          <t>RFID100016</t>
        </is>
      </c>
      <c r="D481" s="14" t="inlineStr">
        <is>
          <t>2024-01-30</t>
        </is>
      </c>
      <c r="E481" s="14" t="inlineStr">
        <is>
          <t>08:00</t>
        </is>
      </c>
      <c r="F481" s="14" t="n">
        <v>5.69</v>
      </c>
      <c r="G481" s="14" t="n">
        <v>5.61</v>
      </c>
      <c r="H481" s="14" t="n">
        <v>5.82</v>
      </c>
      <c r="I481" s="15">
        <f>F481+G481+H481</f>
        <v/>
      </c>
      <c r="J481" s="15">
        <f>ROUND((I481-18.3)/18.3*100,2)</f>
        <v/>
      </c>
      <c r="K481" s="15" t="inlineStr">
        <is>
          <t>Normal</t>
        </is>
      </c>
    </row>
    <row r="482" ht="15" customHeight="1" s="11">
      <c r="A482" s="13" t="n">
        <v>481</v>
      </c>
      <c r="B482" s="13" t="inlineStr">
        <is>
          <t>COW017</t>
        </is>
      </c>
      <c r="C482" s="13" t="inlineStr">
        <is>
          <t>RFID100017</t>
        </is>
      </c>
      <c r="D482" s="13" t="inlineStr">
        <is>
          <t>2024-01-01</t>
        </is>
      </c>
      <c r="E482" s="13" t="inlineStr">
        <is>
          <t>08:00</t>
        </is>
      </c>
      <c r="F482" s="13" t="n">
        <v>7.88</v>
      </c>
      <c r="G482" s="13" t="n">
        <v>7.26</v>
      </c>
      <c r="H482" s="13" t="n">
        <v>6.92</v>
      </c>
      <c r="I482" s="15">
        <f>F482+G482+H482</f>
        <v/>
      </c>
      <c r="J482" s="15">
        <f>ROUND((I482-22.6)/22.6*100,2)</f>
        <v/>
      </c>
      <c r="K482" s="15" t="inlineStr">
        <is>
          <t>Normal</t>
        </is>
      </c>
    </row>
    <row r="483" ht="15" customHeight="1" s="11">
      <c r="A483" s="14" t="n">
        <v>482</v>
      </c>
      <c r="B483" s="14" t="inlineStr">
        <is>
          <t>COW017</t>
        </is>
      </c>
      <c r="C483" s="14" t="inlineStr">
        <is>
          <t>RFID100017</t>
        </is>
      </c>
      <c r="D483" s="14" t="inlineStr">
        <is>
          <t>2024-01-02</t>
        </is>
      </c>
      <c r="E483" s="14" t="inlineStr">
        <is>
          <t>08:00</t>
        </is>
      </c>
      <c r="F483" s="14" t="n">
        <v>7.89</v>
      </c>
      <c r="G483" s="14" t="n">
        <v>6.62</v>
      </c>
      <c r="H483" s="14" t="n">
        <v>8.119999999999999</v>
      </c>
      <c r="I483" s="15">
        <f>F483+G483+H483</f>
        <v/>
      </c>
      <c r="J483" s="15">
        <f>ROUND((I483-22.6)/22.6*100,2)</f>
        <v/>
      </c>
      <c r="K483" s="15" t="inlineStr">
        <is>
          <t>Normal</t>
        </is>
      </c>
    </row>
    <row r="484" ht="15" customHeight="1" s="11">
      <c r="A484" s="13" t="n">
        <v>483</v>
      </c>
      <c r="B484" s="13" t="inlineStr">
        <is>
          <t>COW017</t>
        </is>
      </c>
      <c r="C484" s="13" t="inlineStr">
        <is>
          <t>RFID100017</t>
        </is>
      </c>
      <c r="D484" s="13" t="inlineStr">
        <is>
          <t>2024-01-03</t>
        </is>
      </c>
      <c r="E484" s="13" t="inlineStr">
        <is>
          <t>08:00</t>
        </is>
      </c>
      <c r="F484" s="13" t="n">
        <v>8.119999999999999</v>
      </c>
      <c r="G484" s="13" t="n">
        <v>6.87</v>
      </c>
      <c r="H484" s="13" t="n">
        <v>6.94</v>
      </c>
      <c r="I484" s="15">
        <f>F484+G484+H484</f>
        <v/>
      </c>
      <c r="J484" s="15">
        <f>ROUND((I484-22.6)/22.6*100,2)</f>
        <v/>
      </c>
      <c r="K484" s="15" t="inlineStr">
        <is>
          <t>Normal</t>
        </is>
      </c>
    </row>
    <row r="485" ht="15" customHeight="1" s="11">
      <c r="A485" s="14" t="n">
        <v>484</v>
      </c>
      <c r="B485" s="14" t="inlineStr">
        <is>
          <t>COW017</t>
        </is>
      </c>
      <c r="C485" s="14" t="inlineStr">
        <is>
          <t>RFID100017</t>
        </is>
      </c>
      <c r="D485" s="14" t="inlineStr">
        <is>
          <t>2024-01-04</t>
        </is>
      </c>
      <c r="E485" s="14" t="inlineStr">
        <is>
          <t>08:00</t>
        </is>
      </c>
      <c r="F485" s="14" t="n">
        <v>8.279999999999999</v>
      </c>
      <c r="G485" s="14" t="n">
        <v>7.29</v>
      </c>
      <c r="H485" s="14" t="n">
        <v>7.61</v>
      </c>
      <c r="I485" s="15">
        <f>F485+G485+H485</f>
        <v/>
      </c>
      <c r="J485" s="15">
        <f>ROUND((I485-22.6)/22.6*100,2)</f>
        <v/>
      </c>
      <c r="K485" s="15" t="inlineStr">
        <is>
          <t>Normal</t>
        </is>
      </c>
    </row>
    <row r="486" ht="15" customHeight="1" s="11">
      <c r="A486" s="13" t="n">
        <v>485</v>
      </c>
      <c r="B486" s="13" t="inlineStr">
        <is>
          <t>COW017</t>
        </is>
      </c>
      <c r="C486" s="13" t="inlineStr">
        <is>
          <t>RFID100017</t>
        </is>
      </c>
      <c r="D486" s="13" t="inlineStr">
        <is>
          <t>2024-01-05</t>
        </is>
      </c>
      <c r="E486" s="13" t="inlineStr">
        <is>
          <t>08:00</t>
        </is>
      </c>
      <c r="F486" s="13" t="n">
        <v>7.32</v>
      </c>
      <c r="G486" s="13" t="n">
        <v>7.8</v>
      </c>
      <c r="H486" s="13" t="n">
        <v>6.99</v>
      </c>
      <c r="I486" s="15">
        <f>F486+G486+H486</f>
        <v/>
      </c>
      <c r="J486" s="15">
        <f>ROUND((I486-22.6)/22.6*100,2)</f>
        <v/>
      </c>
      <c r="K486" s="15" t="inlineStr">
        <is>
          <t>Normal</t>
        </is>
      </c>
    </row>
    <row r="487" ht="15" customHeight="1" s="11">
      <c r="A487" s="14" t="n">
        <v>486</v>
      </c>
      <c r="B487" s="14" t="inlineStr">
        <is>
          <t>COW017</t>
        </is>
      </c>
      <c r="C487" s="14" t="inlineStr">
        <is>
          <t>RFID100017</t>
        </is>
      </c>
      <c r="D487" s="14" t="inlineStr">
        <is>
          <t>2024-01-06</t>
        </is>
      </c>
      <c r="E487" s="14" t="inlineStr">
        <is>
          <t>08:00</t>
        </is>
      </c>
      <c r="F487" s="14" t="n">
        <v>8</v>
      </c>
      <c r="G487" s="14" t="n">
        <v>8.1</v>
      </c>
      <c r="H487" s="14" t="n">
        <v>7.38</v>
      </c>
      <c r="I487" s="15">
        <f>F487+G487+H487</f>
        <v/>
      </c>
      <c r="J487" s="15">
        <f>ROUND((I487-22.6)/22.6*100,2)</f>
        <v/>
      </c>
      <c r="K487" s="15" t="inlineStr">
        <is>
          <t>Normal</t>
        </is>
      </c>
    </row>
    <row r="488" ht="15" customHeight="1" s="11">
      <c r="A488" s="13" t="n">
        <v>487</v>
      </c>
      <c r="B488" s="13" t="inlineStr">
        <is>
          <t>COW017</t>
        </is>
      </c>
      <c r="C488" s="13" t="inlineStr">
        <is>
          <t>RFID100017</t>
        </is>
      </c>
      <c r="D488" s="13" t="inlineStr">
        <is>
          <t>2024-01-07</t>
        </is>
      </c>
      <c r="E488" s="13" t="inlineStr">
        <is>
          <t>08:00</t>
        </is>
      </c>
      <c r="F488" s="13" t="n">
        <v>8.220000000000001</v>
      </c>
      <c r="G488" s="13" t="n">
        <v>7.64</v>
      </c>
      <c r="H488" s="13" t="n">
        <v>7.57</v>
      </c>
      <c r="I488" s="15">
        <f>F488+G488+H488</f>
        <v/>
      </c>
      <c r="J488" s="15">
        <f>ROUND((I488-22.6)/22.6*100,2)</f>
        <v/>
      </c>
      <c r="K488" s="15" t="inlineStr">
        <is>
          <t>Normal</t>
        </is>
      </c>
    </row>
    <row r="489" ht="15" customHeight="1" s="11">
      <c r="A489" s="14" t="n">
        <v>488</v>
      </c>
      <c r="B489" s="14" t="inlineStr">
        <is>
          <t>COW017</t>
        </is>
      </c>
      <c r="C489" s="14" t="inlineStr">
        <is>
          <t>RFID100017</t>
        </is>
      </c>
      <c r="D489" s="14" t="inlineStr">
        <is>
          <t>2024-01-08</t>
        </is>
      </c>
      <c r="E489" s="14" t="inlineStr">
        <is>
          <t>08:00</t>
        </is>
      </c>
      <c r="F489" s="14" t="n">
        <v>6.83</v>
      </c>
      <c r="G489" s="14" t="n">
        <v>7.19</v>
      </c>
      <c r="H489" s="14" t="n">
        <v>8.08</v>
      </c>
      <c r="I489" s="15">
        <f>F489+G489+H489</f>
        <v/>
      </c>
      <c r="J489" s="15">
        <f>ROUND((I489-22.6)/22.6*100,2)</f>
        <v/>
      </c>
      <c r="K489" s="15" t="inlineStr">
        <is>
          <t>Normal</t>
        </is>
      </c>
    </row>
    <row r="490" ht="15" customHeight="1" s="11">
      <c r="A490" s="13" t="n">
        <v>489</v>
      </c>
      <c r="B490" s="13" t="inlineStr">
        <is>
          <t>COW017</t>
        </is>
      </c>
      <c r="C490" s="13" t="inlineStr">
        <is>
          <t>RFID100017</t>
        </is>
      </c>
      <c r="D490" s="13" t="inlineStr">
        <is>
          <t>2024-01-09</t>
        </is>
      </c>
      <c r="E490" s="13" t="inlineStr">
        <is>
          <t>08:00</t>
        </is>
      </c>
      <c r="F490" s="13" t="n">
        <v>8.199999999999999</v>
      </c>
      <c r="G490" s="13" t="n">
        <v>7.73</v>
      </c>
      <c r="H490" s="13" t="n">
        <v>7.37</v>
      </c>
      <c r="I490" s="15">
        <f>F490+G490+H490</f>
        <v/>
      </c>
      <c r="J490" s="15">
        <f>ROUND((I490-22.6)/22.6*100,2)</f>
        <v/>
      </c>
      <c r="K490" s="15" t="inlineStr">
        <is>
          <t>Normal</t>
        </is>
      </c>
    </row>
    <row r="491" ht="15" customHeight="1" s="11">
      <c r="A491" s="14" t="n">
        <v>490</v>
      </c>
      <c r="B491" s="14" t="inlineStr">
        <is>
          <t>COW017</t>
        </is>
      </c>
      <c r="C491" s="14" t="inlineStr">
        <is>
          <t>RFID100017</t>
        </is>
      </c>
      <c r="D491" s="14" t="inlineStr">
        <is>
          <t>2024-01-10</t>
        </is>
      </c>
      <c r="E491" s="14" t="inlineStr">
        <is>
          <t>08:00</t>
        </is>
      </c>
      <c r="F491" s="14" t="n">
        <v>8.08</v>
      </c>
      <c r="G491" s="14" t="n">
        <v>7.38</v>
      </c>
      <c r="H491" s="14" t="n">
        <v>6.64</v>
      </c>
      <c r="I491" s="15">
        <f>F491+G491+H491</f>
        <v/>
      </c>
      <c r="J491" s="15">
        <f>ROUND((I491-22.6)/22.6*100,2)</f>
        <v/>
      </c>
      <c r="K491" s="15" t="inlineStr">
        <is>
          <t>Normal</t>
        </is>
      </c>
    </row>
    <row r="492" ht="15" customHeight="1" s="11">
      <c r="A492" s="13" t="n">
        <v>491</v>
      </c>
      <c r="B492" s="13" t="inlineStr">
        <is>
          <t>COW017</t>
        </is>
      </c>
      <c r="C492" s="13" t="inlineStr">
        <is>
          <t>RFID100017</t>
        </is>
      </c>
      <c r="D492" s="13" t="inlineStr">
        <is>
          <t>2024-01-11</t>
        </is>
      </c>
      <c r="E492" s="13" t="inlineStr">
        <is>
          <t>08:00</t>
        </is>
      </c>
      <c r="F492" s="13" t="n">
        <v>7.92</v>
      </c>
      <c r="G492" s="13" t="n">
        <v>7.45</v>
      </c>
      <c r="H492" s="13" t="n">
        <v>7.85</v>
      </c>
      <c r="I492" s="15">
        <f>F492+G492+H492</f>
        <v/>
      </c>
      <c r="J492" s="15">
        <f>ROUND((I492-22.6)/22.6*100,2)</f>
        <v/>
      </c>
      <c r="K492" s="15" t="inlineStr">
        <is>
          <t>Normal</t>
        </is>
      </c>
    </row>
    <row r="493" ht="15" customHeight="1" s="11">
      <c r="A493" s="14" t="n">
        <v>492</v>
      </c>
      <c r="B493" s="14" t="inlineStr">
        <is>
          <t>COW017</t>
        </is>
      </c>
      <c r="C493" s="14" t="inlineStr">
        <is>
          <t>RFID100017</t>
        </is>
      </c>
      <c r="D493" s="14" t="inlineStr">
        <is>
          <t>2024-01-12</t>
        </is>
      </c>
      <c r="E493" s="14" t="inlineStr">
        <is>
          <t>08:00</t>
        </is>
      </c>
      <c r="F493" s="14" t="n">
        <v>7.05</v>
      </c>
      <c r="G493" s="14" t="n">
        <v>7.56</v>
      </c>
      <c r="H493" s="14" t="n">
        <v>6.39</v>
      </c>
      <c r="I493" s="15">
        <f>F493+G493+H493</f>
        <v/>
      </c>
      <c r="J493" s="15">
        <f>ROUND((I493-22.6)/22.6*100,2)</f>
        <v/>
      </c>
      <c r="K493" s="15" t="inlineStr">
        <is>
          <t>Normal</t>
        </is>
      </c>
    </row>
    <row r="494" ht="15" customHeight="1" s="11">
      <c r="A494" s="13" t="n">
        <v>493</v>
      </c>
      <c r="B494" s="13" t="inlineStr">
        <is>
          <t>COW017</t>
        </is>
      </c>
      <c r="C494" s="13" t="inlineStr">
        <is>
          <t>RFID100017</t>
        </is>
      </c>
      <c r="D494" s="13" t="inlineStr">
        <is>
          <t>2024-01-13</t>
        </is>
      </c>
      <c r="E494" s="13" t="inlineStr">
        <is>
          <t>08:00</t>
        </is>
      </c>
      <c r="F494" s="13" t="n">
        <v>8.49</v>
      </c>
      <c r="G494" s="13" t="n">
        <v>6.53</v>
      </c>
      <c r="H494" s="13" t="n">
        <v>6.36</v>
      </c>
      <c r="I494" s="15">
        <f>F494+G494+H494</f>
        <v/>
      </c>
      <c r="J494" s="15">
        <f>ROUND((I494-22.6)/22.6*100,2)</f>
        <v/>
      </c>
      <c r="K494" s="15" t="inlineStr">
        <is>
          <t>Normal</t>
        </is>
      </c>
    </row>
    <row r="495" ht="15" customHeight="1" s="11">
      <c r="A495" s="14" t="n">
        <v>494</v>
      </c>
      <c r="B495" s="14" t="inlineStr">
        <is>
          <t>COW017</t>
        </is>
      </c>
      <c r="C495" s="14" t="inlineStr">
        <is>
          <t>RFID100017</t>
        </is>
      </c>
      <c r="D495" s="14" t="inlineStr">
        <is>
          <t>2024-01-14</t>
        </is>
      </c>
      <c r="E495" s="14" t="inlineStr">
        <is>
          <t>08:00</t>
        </is>
      </c>
      <c r="F495" s="14" t="n">
        <v>7.35</v>
      </c>
      <c r="G495" s="14" t="n">
        <v>6.6</v>
      </c>
      <c r="H495" s="14" t="n">
        <v>7.58</v>
      </c>
      <c r="I495" s="15">
        <f>F495+G495+H495</f>
        <v/>
      </c>
      <c r="J495" s="15">
        <f>ROUND((I495-22.6)/22.6*100,2)</f>
        <v/>
      </c>
      <c r="K495" s="15" t="inlineStr">
        <is>
          <t>Normal</t>
        </is>
      </c>
    </row>
    <row r="496" ht="15" customHeight="1" s="11">
      <c r="A496" s="13" t="n">
        <v>495</v>
      </c>
      <c r="B496" s="13" t="inlineStr">
        <is>
          <t>COW017</t>
        </is>
      </c>
      <c r="C496" s="13" t="inlineStr">
        <is>
          <t>RFID100017</t>
        </is>
      </c>
      <c r="D496" s="13" t="inlineStr">
        <is>
          <t>2024-01-15</t>
        </is>
      </c>
      <c r="E496" s="13" t="inlineStr">
        <is>
          <t>08:00</t>
        </is>
      </c>
      <c r="F496" s="13" t="n">
        <v>7.52</v>
      </c>
      <c r="G496" s="13" t="n">
        <v>7.73</v>
      </c>
      <c r="H496" s="13" t="n">
        <v>7.99</v>
      </c>
      <c r="I496" s="15">
        <f>F496+G496+H496</f>
        <v/>
      </c>
      <c r="J496" s="15">
        <f>ROUND((I496-22.6)/22.6*100,2)</f>
        <v/>
      </c>
      <c r="K496" s="15" t="inlineStr">
        <is>
          <t>Normal</t>
        </is>
      </c>
    </row>
    <row r="497" ht="15" customHeight="1" s="11">
      <c r="A497" s="14" t="n">
        <v>496</v>
      </c>
      <c r="B497" s="14" t="inlineStr">
        <is>
          <t>COW017</t>
        </is>
      </c>
      <c r="C497" s="14" t="inlineStr">
        <is>
          <t>RFID100017</t>
        </is>
      </c>
      <c r="D497" s="14" t="inlineStr">
        <is>
          <t>2024-01-16</t>
        </is>
      </c>
      <c r="E497" s="14" t="inlineStr">
        <is>
          <t>08:00</t>
        </is>
      </c>
      <c r="F497" s="14" t="n">
        <v>8.359999999999999</v>
      </c>
      <c r="G497" s="14" t="n">
        <v>7.66</v>
      </c>
      <c r="H497" s="14" t="n">
        <v>6.44</v>
      </c>
      <c r="I497" s="15">
        <f>F497+G497+H497</f>
        <v/>
      </c>
      <c r="J497" s="15">
        <f>ROUND((I497-22.6)/22.6*100,2)</f>
        <v/>
      </c>
      <c r="K497" s="15" t="inlineStr">
        <is>
          <t>Normal</t>
        </is>
      </c>
    </row>
    <row r="498" ht="15" customHeight="1" s="11">
      <c r="A498" s="13" t="n">
        <v>497</v>
      </c>
      <c r="B498" s="13" t="inlineStr">
        <is>
          <t>COW017</t>
        </is>
      </c>
      <c r="C498" s="13" t="inlineStr">
        <is>
          <t>RFID100017</t>
        </is>
      </c>
      <c r="D498" s="13" t="inlineStr">
        <is>
          <t>2024-01-17</t>
        </is>
      </c>
      <c r="E498" s="13" t="inlineStr">
        <is>
          <t>08:00</t>
        </is>
      </c>
      <c r="F498" s="13" t="n">
        <v>7.03</v>
      </c>
      <c r="G498" s="13" t="n">
        <v>6.7</v>
      </c>
      <c r="H498" s="13" t="n">
        <v>6.92</v>
      </c>
      <c r="I498" s="15">
        <f>F498+G498+H498</f>
        <v/>
      </c>
      <c r="J498" s="15">
        <f>ROUND((I498-22.6)/22.6*100,2)</f>
        <v/>
      </c>
      <c r="K498" s="15" t="inlineStr">
        <is>
          <t>Normal</t>
        </is>
      </c>
    </row>
    <row r="499" ht="15" customHeight="1" s="11">
      <c r="A499" s="14" t="n">
        <v>498</v>
      </c>
      <c r="B499" s="14" t="inlineStr">
        <is>
          <t>COW017</t>
        </is>
      </c>
      <c r="C499" s="14" t="inlineStr">
        <is>
          <t>RFID100017</t>
        </is>
      </c>
      <c r="D499" s="14" t="inlineStr">
        <is>
          <t>2024-01-18</t>
        </is>
      </c>
      <c r="E499" s="14" t="inlineStr">
        <is>
          <t>08:00</t>
        </is>
      </c>
      <c r="F499" s="14" t="n">
        <v>7.98</v>
      </c>
      <c r="G499" s="14" t="n">
        <v>7.28</v>
      </c>
      <c r="H499" s="14" t="n">
        <v>6.9</v>
      </c>
      <c r="I499" s="15">
        <f>F499+G499+H499</f>
        <v/>
      </c>
      <c r="J499" s="15">
        <f>ROUND((I499-22.6)/22.6*100,2)</f>
        <v/>
      </c>
      <c r="K499" s="15" t="inlineStr">
        <is>
          <t>Normal</t>
        </is>
      </c>
    </row>
    <row r="500" ht="15" customHeight="1" s="11">
      <c r="A500" s="13" t="n">
        <v>499</v>
      </c>
      <c r="B500" s="13" t="inlineStr">
        <is>
          <t>COW017</t>
        </is>
      </c>
      <c r="C500" s="13" t="inlineStr">
        <is>
          <t>RFID100017</t>
        </is>
      </c>
      <c r="D500" s="13" t="inlineStr">
        <is>
          <t>2024-01-19</t>
        </is>
      </c>
      <c r="E500" s="13" t="inlineStr">
        <is>
          <t>08:00</t>
        </is>
      </c>
      <c r="F500" s="13" t="n">
        <v>7.09</v>
      </c>
      <c r="G500" s="13" t="n">
        <v>7.98</v>
      </c>
      <c r="H500" s="13" t="n">
        <v>6.95</v>
      </c>
      <c r="I500" s="15">
        <f>F500+G500+H500</f>
        <v/>
      </c>
      <c r="J500" s="15">
        <f>ROUND((I500-22.6)/22.6*100,2)</f>
        <v/>
      </c>
      <c r="K500" s="15" t="inlineStr">
        <is>
          <t>Normal</t>
        </is>
      </c>
    </row>
    <row r="501" ht="15" customHeight="1" s="11">
      <c r="A501" s="14" t="n">
        <v>500</v>
      </c>
      <c r="B501" s="14" t="inlineStr">
        <is>
          <t>COW017</t>
        </is>
      </c>
      <c r="C501" s="14" t="inlineStr">
        <is>
          <t>RFID100017</t>
        </is>
      </c>
      <c r="D501" s="14" t="inlineStr">
        <is>
          <t>2024-01-20</t>
        </is>
      </c>
      <c r="E501" s="14" t="inlineStr">
        <is>
          <t>08:00</t>
        </is>
      </c>
      <c r="F501" s="14" t="n">
        <v>7.42</v>
      </c>
      <c r="G501" s="14" t="n">
        <v>7.72</v>
      </c>
      <c r="H501" s="14" t="n">
        <v>7.63</v>
      </c>
      <c r="I501" s="15">
        <f>F501+G501+H501</f>
        <v/>
      </c>
      <c r="J501" s="15">
        <f>ROUND((I501-22.6)/22.6*100,2)</f>
        <v/>
      </c>
      <c r="K501" s="15" t="inlineStr">
        <is>
          <t>Normal</t>
        </is>
      </c>
    </row>
    <row r="502" ht="15" customHeight="1" s="11">
      <c r="A502" s="13" t="n">
        <v>501</v>
      </c>
      <c r="B502" s="13" t="inlineStr">
        <is>
          <t>COW017</t>
        </is>
      </c>
      <c r="C502" s="13" t="inlineStr">
        <is>
          <t>RFID100017</t>
        </is>
      </c>
      <c r="D502" s="13" t="inlineStr">
        <is>
          <t>2024-01-21</t>
        </is>
      </c>
      <c r="E502" s="13" t="inlineStr">
        <is>
          <t>08:00</t>
        </is>
      </c>
      <c r="F502" s="13" t="n">
        <v>7.94</v>
      </c>
      <c r="G502" s="13" t="n">
        <v>7.58</v>
      </c>
      <c r="H502" s="13" t="n">
        <v>7.43</v>
      </c>
      <c r="I502" s="15">
        <f>F502+G502+H502</f>
        <v/>
      </c>
      <c r="J502" s="15">
        <f>ROUND((I502-22.6)/22.6*100,2)</f>
        <v/>
      </c>
      <c r="K502" s="15" t="inlineStr">
        <is>
          <t>Normal</t>
        </is>
      </c>
    </row>
    <row r="503" ht="15" customHeight="1" s="11">
      <c r="A503" s="14" t="n">
        <v>502</v>
      </c>
      <c r="B503" s="14" t="inlineStr">
        <is>
          <t>COW017</t>
        </is>
      </c>
      <c r="C503" s="14" t="inlineStr">
        <is>
          <t>RFID100017</t>
        </is>
      </c>
      <c r="D503" s="14" t="inlineStr">
        <is>
          <t>2024-01-22</t>
        </is>
      </c>
      <c r="E503" s="14" t="inlineStr">
        <is>
          <t>08:00</t>
        </is>
      </c>
      <c r="F503" s="14" t="n">
        <v>7.13</v>
      </c>
      <c r="G503" s="14" t="n">
        <v>6.77</v>
      </c>
      <c r="H503" s="14" t="n">
        <v>7.34</v>
      </c>
      <c r="I503" s="15">
        <f>F503+G503+H503</f>
        <v/>
      </c>
      <c r="J503" s="15">
        <f>ROUND((I503-22.6)/22.6*100,2)</f>
        <v/>
      </c>
      <c r="K503" s="15" t="inlineStr">
        <is>
          <t>Normal</t>
        </is>
      </c>
    </row>
    <row r="504" ht="15" customHeight="1" s="11">
      <c r="A504" s="13" t="n">
        <v>503</v>
      </c>
      <c r="B504" s="13" t="inlineStr">
        <is>
          <t>COW017</t>
        </is>
      </c>
      <c r="C504" s="13" t="inlineStr">
        <is>
          <t>RFID100017</t>
        </is>
      </c>
      <c r="D504" s="13" t="inlineStr">
        <is>
          <t>2024-01-23</t>
        </is>
      </c>
      <c r="E504" s="13" t="inlineStr">
        <is>
          <t>08:00</t>
        </is>
      </c>
      <c r="F504" s="13" t="n">
        <v>7.19</v>
      </c>
      <c r="G504" s="13" t="n">
        <v>8.09</v>
      </c>
      <c r="H504" s="13" t="n">
        <v>6.87</v>
      </c>
      <c r="I504" s="15">
        <f>F504+G504+H504</f>
        <v/>
      </c>
      <c r="J504" s="15">
        <f>ROUND((I504-22.6)/22.6*100,2)</f>
        <v/>
      </c>
      <c r="K504" s="15" t="inlineStr">
        <is>
          <t>Normal</t>
        </is>
      </c>
    </row>
    <row r="505" ht="15" customHeight="1" s="11">
      <c r="A505" s="14" t="n">
        <v>504</v>
      </c>
      <c r="B505" s="14" t="inlineStr">
        <is>
          <t>COW017</t>
        </is>
      </c>
      <c r="C505" s="14" t="inlineStr">
        <is>
          <t>RFID100017</t>
        </is>
      </c>
      <c r="D505" s="14" t="inlineStr">
        <is>
          <t>2024-01-24</t>
        </is>
      </c>
      <c r="E505" s="14" t="inlineStr">
        <is>
          <t>08:00</t>
        </is>
      </c>
      <c r="F505" s="14" t="n">
        <v>7.3</v>
      </c>
      <c r="G505" s="14" t="n">
        <v>6.7</v>
      </c>
      <c r="H505" s="14" t="n">
        <v>7.6</v>
      </c>
      <c r="I505" s="15">
        <f>F505+G505+H505</f>
        <v/>
      </c>
      <c r="J505" s="15">
        <f>ROUND((I505-22.6)/22.6*100,2)</f>
        <v/>
      </c>
      <c r="K505" s="15" t="inlineStr">
        <is>
          <t>Normal</t>
        </is>
      </c>
    </row>
    <row r="506" ht="15" customHeight="1" s="11">
      <c r="A506" s="13" t="n">
        <v>505</v>
      </c>
      <c r="B506" s="13" t="inlineStr">
        <is>
          <t>COW017</t>
        </is>
      </c>
      <c r="C506" s="13" t="inlineStr">
        <is>
          <t>RFID100017</t>
        </is>
      </c>
      <c r="D506" s="13" t="inlineStr">
        <is>
          <t>2024-01-25</t>
        </is>
      </c>
      <c r="E506" s="13" t="inlineStr">
        <is>
          <t>08:00</t>
        </is>
      </c>
      <c r="F506" s="13" t="n">
        <v>7.35</v>
      </c>
      <c r="G506" s="13" t="n">
        <v>6.96</v>
      </c>
      <c r="H506" s="13" t="n">
        <v>8.02</v>
      </c>
      <c r="I506" s="15">
        <f>F506+G506+H506</f>
        <v/>
      </c>
      <c r="J506" s="15">
        <f>ROUND((I506-22.6)/22.6*100,2)</f>
        <v/>
      </c>
      <c r="K506" s="15" t="inlineStr">
        <is>
          <t>Normal</t>
        </is>
      </c>
    </row>
    <row r="507" ht="15" customHeight="1" s="11">
      <c r="A507" s="14" t="n">
        <v>506</v>
      </c>
      <c r="B507" s="14" t="inlineStr">
        <is>
          <t>COW017</t>
        </is>
      </c>
      <c r="C507" s="14" t="inlineStr">
        <is>
          <t>RFID100017</t>
        </is>
      </c>
      <c r="D507" s="14" t="inlineStr">
        <is>
          <t>2024-01-26</t>
        </is>
      </c>
      <c r="E507" s="14" t="inlineStr">
        <is>
          <t>08:00</t>
        </is>
      </c>
      <c r="F507" s="14" t="n">
        <v>8.220000000000001</v>
      </c>
      <c r="G507" s="14" t="n">
        <v>6.82</v>
      </c>
      <c r="H507" s="14" t="n">
        <v>6.55</v>
      </c>
      <c r="I507" s="15">
        <f>F507+G507+H507</f>
        <v/>
      </c>
      <c r="J507" s="15">
        <f>ROUND((I507-22.6)/22.6*100,2)</f>
        <v/>
      </c>
      <c r="K507" s="15" t="inlineStr">
        <is>
          <t>Normal</t>
        </is>
      </c>
    </row>
    <row r="508" ht="15" customHeight="1" s="11">
      <c r="A508" s="13" t="n">
        <v>507</v>
      </c>
      <c r="B508" s="13" t="inlineStr">
        <is>
          <t>COW017</t>
        </is>
      </c>
      <c r="C508" s="13" t="inlineStr">
        <is>
          <t>RFID100017</t>
        </is>
      </c>
      <c r="D508" s="13" t="inlineStr">
        <is>
          <t>2024-01-27</t>
        </is>
      </c>
      <c r="E508" s="13" t="inlineStr">
        <is>
          <t>08:00</t>
        </is>
      </c>
      <c r="F508" s="13" t="n">
        <v>8</v>
      </c>
      <c r="G508" s="13" t="n">
        <v>7.01</v>
      </c>
      <c r="H508" s="13" t="n">
        <v>8.1</v>
      </c>
      <c r="I508" s="15">
        <f>F508+G508+H508</f>
        <v/>
      </c>
      <c r="J508" s="15">
        <f>ROUND((I508-22.6)/22.6*100,2)</f>
        <v/>
      </c>
      <c r="K508" s="15" t="inlineStr">
        <is>
          <t>Normal</t>
        </is>
      </c>
    </row>
    <row r="509" ht="15" customHeight="1" s="11">
      <c r="A509" s="14" t="n">
        <v>508</v>
      </c>
      <c r="B509" s="14" t="inlineStr">
        <is>
          <t>COW017</t>
        </is>
      </c>
      <c r="C509" s="14" t="inlineStr">
        <is>
          <t>RFID100017</t>
        </is>
      </c>
      <c r="D509" s="14" t="inlineStr">
        <is>
          <t>2024-01-28</t>
        </is>
      </c>
      <c r="E509" s="14" t="inlineStr">
        <is>
          <t>08:00</t>
        </is>
      </c>
      <c r="F509" s="14" t="n">
        <v>8.26</v>
      </c>
      <c r="G509" s="14" t="n">
        <v>8.050000000000001</v>
      </c>
      <c r="H509" s="14" t="n">
        <v>7.78</v>
      </c>
      <c r="I509" s="15">
        <f>F509+G509+H509</f>
        <v/>
      </c>
      <c r="J509" s="15">
        <f>ROUND((I509-22.6)/22.6*100,2)</f>
        <v/>
      </c>
      <c r="K509" s="15" t="inlineStr">
        <is>
          <t>Normal</t>
        </is>
      </c>
    </row>
    <row r="510" ht="15" customHeight="1" s="11">
      <c r="A510" s="13" t="n">
        <v>509</v>
      </c>
      <c r="B510" s="13" t="inlineStr">
        <is>
          <t>COW017</t>
        </is>
      </c>
      <c r="C510" s="13" t="inlineStr">
        <is>
          <t>RFID100017</t>
        </is>
      </c>
      <c r="D510" s="13" t="inlineStr">
        <is>
          <t>2024-01-29</t>
        </is>
      </c>
      <c r="E510" s="13" t="inlineStr">
        <is>
          <t>08:00</t>
        </is>
      </c>
      <c r="F510" s="13" t="n">
        <v>7.31</v>
      </c>
      <c r="G510" s="13" t="n">
        <v>6.85</v>
      </c>
      <c r="H510" s="13" t="n">
        <v>7.62</v>
      </c>
      <c r="I510" s="15">
        <f>F510+G510+H510</f>
        <v/>
      </c>
      <c r="J510" s="15">
        <f>ROUND((I510-22.6)/22.6*100,2)</f>
        <v/>
      </c>
      <c r="K510" s="15" t="inlineStr">
        <is>
          <t>Normal</t>
        </is>
      </c>
    </row>
    <row r="511" ht="15" customHeight="1" s="11">
      <c r="A511" s="14" t="n">
        <v>510</v>
      </c>
      <c r="B511" s="14" t="inlineStr">
        <is>
          <t>COW017</t>
        </is>
      </c>
      <c r="C511" s="14" t="inlineStr">
        <is>
          <t>RFID100017</t>
        </is>
      </c>
      <c r="D511" s="14" t="inlineStr">
        <is>
          <t>2024-01-30</t>
        </is>
      </c>
      <c r="E511" s="14" t="inlineStr">
        <is>
          <t>08:00</t>
        </is>
      </c>
      <c r="F511" s="14" t="n">
        <v>7.41</v>
      </c>
      <c r="G511" s="14" t="n">
        <v>7.13</v>
      </c>
      <c r="H511" s="14" t="n">
        <v>6.79</v>
      </c>
      <c r="I511" s="15">
        <f>F511+G511+H511</f>
        <v/>
      </c>
      <c r="J511" s="15">
        <f>ROUND((I511-22.6)/22.6*100,2)</f>
        <v/>
      </c>
      <c r="K511" s="15" t="inlineStr">
        <is>
          <t>Normal</t>
        </is>
      </c>
    </row>
    <row r="512" ht="15" customHeight="1" s="11">
      <c r="A512" s="13" t="n">
        <v>511</v>
      </c>
      <c r="B512" s="13" t="inlineStr">
        <is>
          <t>COW018</t>
        </is>
      </c>
      <c r="C512" s="13" t="inlineStr">
        <is>
          <t>RFID100018</t>
        </is>
      </c>
      <c r="D512" s="13" t="inlineStr">
        <is>
          <t>2024-01-01</t>
        </is>
      </c>
      <c r="E512" s="13" t="inlineStr">
        <is>
          <t>08:00</t>
        </is>
      </c>
      <c r="F512" s="13" t="n">
        <v>7.21</v>
      </c>
      <c r="G512" s="13" t="n">
        <v>7.37</v>
      </c>
      <c r="H512" s="13" t="n">
        <v>8.09</v>
      </c>
      <c r="I512" s="15">
        <f>F512+G512+H512</f>
        <v/>
      </c>
      <c r="J512" s="15">
        <f>ROUND((I512-22.8)/22.8*100,2)</f>
        <v/>
      </c>
      <c r="K512" s="15" t="inlineStr">
        <is>
          <t>Normal</t>
        </is>
      </c>
    </row>
    <row r="513" ht="15" customHeight="1" s="11">
      <c r="A513" s="14" t="n">
        <v>512</v>
      </c>
      <c r="B513" s="14" t="inlineStr">
        <is>
          <t>COW018</t>
        </is>
      </c>
      <c r="C513" s="14" t="inlineStr">
        <is>
          <t>RFID100018</t>
        </is>
      </c>
      <c r="D513" s="14" t="inlineStr">
        <is>
          <t>2024-01-02</t>
        </is>
      </c>
      <c r="E513" s="14" t="inlineStr">
        <is>
          <t>08:00</t>
        </is>
      </c>
      <c r="F513" s="14" t="n">
        <v>8.109999999999999</v>
      </c>
      <c r="G513" s="14" t="n">
        <v>6.63</v>
      </c>
      <c r="H513" s="14" t="n">
        <v>7.51</v>
      </c>
      <c r="I513" s="15">
        <f>F513+G513+H513</f>
        <v/>
      </c>
      <c r="J513" s="15">
        <f>ROUND((I513-22.8)/22.8*100,2)</f>
        <v/>
      </c>
      <c r="K513" s="15" t="inlineStr">
        <is>
          <t>Normal</t>
        </is>
      </c>
    </row>
    <row r="514" ht="15" customHeight="1" s="11">
      <c r="A514" s="13" t="n">
        <v>513</v>
      </c>
      <c r="B514" s="13" t="inlineStr">
        <is>
          <t>COW018</t>
        </is>
      </c>
      <c r="C514" s="13" t="inlineStr">
        <is>
          <t>RFID100018</t>
        </is>
      </c>
      <c r="D514" s="13" t="inlineStr">
        <is>
          <t>2024-01-03</t>
        </is>
      </c>
      <c r="E514" s="13" t="inlineStr">
        <is>
          <t>08:00</t>
        </is>
      </c>
      <c r="F514" s="13" t="n">
        <v>7.91</v>
      </c>
      <c r="G514" s="13" t="n">
        <v>6.83</v>
      </c>
      <c r="H514" s="13" t="n">
        <v>7.61</v>
      </c>
      <c r="I514" s="15">
        <f>F514+G514+H514</f>
        <v/>
      </c>
      <c r="J514" s="15">
        <f>ROUND((I514-22.8)/22.8*100,2)</f>
        <v/>
      </c>
      <c r="K514" s="15" t="inlineStr">
        <is>
          <t>Normal</t>
        </is>
      </c>
    </row>
    <row r="515" ht="15" customHeight="1" s="11">
      <c r="A515" s="14" t="n">
        <v>514</v>
      </c>
      <c r="B515" s="14" t="inlineStr">
        <is>
          <t>COW018</t>
        </is>
      </c>
      <c r="C515" s="14" t="inlineStr">
        <is>
          <t>RFID100018</t>
        </is>
      </c>
      <c r="D515" s="14" t="inlineStr">
        <is>
          <t>2024-01-04</t>
        </is>
      </c>
      <c r="E515" s="14" t="inlineStr">
        <is>
          <t>08:00</t>
        </is>
      </c>
      <c r="F515" s="14" t="n">
        <v>7.81</v>
      </c>
      <c r="G515" s="14" t="n">
        <v>7.55</v>
      </c>
      <c r="H515" s="14" t="n">
        <v>6.48</v>
      </c>
      <c r="I515" s="15">
        <f>F515+G515+H515</f>
        <v/>
      </c>
      <c r="J515" s="15">
        <f>ROUND((I515-22.8)/22.8*100,2)</f>
        <v/>
      </c>
      <c r="K515" s="15" t="inlineStr">
        <is>
          <t>Normal</t>
        </is>
      </c>
    </row>
    <row r="516" ht="15" customHeight="1" s="11">
      <c r="A516" s="13" t="n">
        <v>515</v>
      </c>
      <c r="B516" s="13" t="inlineStr">
        <is>
          <t>COW018</t>
        </is>
      </c>
      <c r="C516" s="13" t="inlineStr">
        <is>
          <t>RFID100018</t>
        </is>
      </c>
      <c r="D516" s="13" t="inlineStr">
        <is>
          <t>2024-01-05</t>
        </is>
      </c>
      <c r="E516" s="13" t="inlineStr">
        <is>
          <t>08:00</t>
        </is>
      </c>
      <c r="F516" s="13" t="n">
        <v>7.59</v>
      </c>
      <c r="G516" s="13" t="n">
        <v>7.69</v>
      </c>
      <c r="H516" s="13" t="n">
        <v>6.57</v>
      </c>
      <c r="I516" s="15">
        <f>F516+G516+H516</f>
        <v/>
      </c>
      <c r="J516" s="15">
        <f>ROUND((I516-22.8)/22.8*100,2)</f>
        <v/>
      </c>
      <c r="K516" s="15" t="inlineStr">
        <is>
          <t>Normal</t>
        </is>
      </c>
    </row>
    <row r="517" ht="15" customHeight="1" s="11">
      <c r="A517" s="14" t="n">
        <v>516</v>
      </c>
      <c r="B517" s="14" t="inlineStr">
        <is>
          <t>COW018</t>
        </is>
      </c>
      <c r="C517" s="14" t="inlineStr">
        <is>
          <t>RFID100018</t>
        </is>
      </c>
      <c r="D517" s="14" t="inlineStr">
        <is>
          <t>2024-01-06</t>
        </is>
      </c>
      <c r="E517" s="14" t="inlineStr">
        <is>
          <t>08:00</t>
        </is>
      </c>
      <c r="F517" s="14" t="n">
        <v>8.25</v>
      </c>
      <c r="G517" s="14" t="n">
        <v>6.39</v>
      </c>
      <c r="H517" s="14" t="n">
        <v>7.39</v>
      </c>
      <c r="I517" s="15">
        <f>F517+G517+H517</f>
        <v/>
      </c>
      <c r="J517" s="15">
        <f>ROUND((I517-22.8)/22.8*100,2)</f>
        <v/>
      </c>
      <c r="K517" s="15" t="inlineStr">
        <is>
          <t>Normal</t>
        </is>
      </c>
    </row>
    <row r="518" ht="15" customHeight="1" s="11">
      <c r="A518" s="13" t="n">
        <v>517</v>
      </c>
      <c r="B518" s="13" t="inlineStr">
        <is>
          <t>COW018</t>
        </is>
      </c>
      <c r="C518" s="13" t="inlineStr">
        <is>
          <t>RFID100018</t>
        </is>
      </c>
      <c r="D518" s="13" t="inlineStr">
        <is>
          <t>2024-01-07</t>
        </is>
      </c>
      <c r="E518" s="13" t="inlineStr">
        <is>
          <t>08:00</t>
        </is>
      </c>
      <c r="F518" s="13" t="n">
        <v>8.529999999999999</v>
      </c>
      <c r="G518" s="13" t="n">
        <v>7.13</v>
      </c>
      <c r="H518" s="13" t="n">
        <v>8.09</v>
      </c>
      <c r="I518" s="15">
        <f>F518+G518+H518</f>
        <v/>
      </c>
      <c r="J518" s="15">
        <f>ROUND((I518-22.8)/22.8*100,2)</f>
        <v/>
      </c>
      <c r="K518" s="15" t="inlineStr">
        <is>
          <t>Normal</t>
        </is>
      </c>
    </row>
    <row r="519" ht="15" customHeight="1" s="11">
      <c r="A519" s="14" t="n">
        <v>518</v>
      </c>
      <c r="B519" s="14" t="inlineStr">
        <is>
          <t>COW018</t>
        </is>
      </c>
      <c r="C519" s="14" t="inlineStr">
        <is>
          <t>RFID100018</t>
        </is>
      </c>
      <c r="D519" s="14" t="inlineStr">
        <is>
          <t>2024-01-08</t>
        </is>
      </c>
      <c r="E519" s="14" t="inlineStr">
        <is>
          <t>08:00</t>
        </is>
      </c>
      <c r="F519" s="14" t="n">
        <v>8.44</v>
      </c>
      <c r="G519" s="14" t="n">
        <v>7.25</v>
      </c>
      <c r="H519" s="14" t="n">
        <v>6.75</v>
      </c>
      <c r="I519" s="15">
        <f>F519+G519+H519</f>
        <v/>
      </c>
      <c r="J519" s="15">
        <f>ROUND((I519-22.8)/22.8*100,2)</f>
        <v/>
      </c>
      <c r="K519" s="15" t="inlineStr">
        <is>
          <t>Normal</t>
        </is>
      </c>
    </row>
    <row r="520" ht="15" customHeight="1" s="11">
      <c r="A520" s="13" t="n">
        <v>519</v>
      </c>
      <c r="B520" s="13" t="inlineStr">
        <is>
          <t>COW018</t>
        </is>
      </c>
      <c r="C520" s="13" t="inlineStr">
        <is>
          <t>RFID100018</t>
        </is>
      </c>
      <c r="D520" s="13" t="inlineStr">
        <is>
          <t>2024-01-09</t>
        </is>
      </c>
      <c r="E520" s="13" t="inlineStr">
        <is>
          <t>08:00</t>
        </is>
      </c>
      <c r="F520" s="13" t="n">
        <v>8.6</v>
      </c>
      <c r="G520" s="13" t="n">
        <v>6.97</v>
      </c>
      <c r="H520" s="13" t="n">
        <v>7.56</v>
      </c>
      <c r="I520" s="15">
        <f>F520+G520+H520</f>
        <v/>
      </c>
      <c r="J520" s="15">
        <f>ROUND((I520-22.8)/22.8*100,2)</f>
        <v/>
      </c>
      <c r="K520" s="15" t="inlineStr">
        <is>
          <t>Normal</t>
        </is>
      </c>
    </row>
    <row r="521" ht="15" customHeight="1" s="11">
      <c r="A521" s="14" t="n">
        <v>520</v>
      </c>
      <c r="B521" s="14" t="inlineStr">
        <is>
          <t>COW018</t>
        </is>
      </c>
      <c r="C521" s="14" t="inlineStr">
        <is>
          <t>RFID100018</t>
        </is>
      </c>
      <c r="D521" s="14" t="inlineStr">
        <is>
          <t>2024-01-10</t>
        </is>
      </c>
      <c r="E521" s="14" t="inlineStr">
        <is>
          <t>08:00</t>
        </is>
      </c>
      <c r="F521" s="14" t="n">
        <v>8.5</v>
      </c>
      <c r="G521" s="14" t="n">
        <v>6.55</v>
      </c>
      <c r="H521" s="14" t="n">
        <v>7.43</v>
      </c>
      <c r="I521" s="15">
        <f>F521+G521+H521</f>
        <v/>
      </c>
      <c r="J521" s="15">
        <f>ROUND((I521-22.8)/22.8*100,2)</f>
        <v/>
      </c>
      <c r="K521" s="15" t="inlineStr">
        <is>
          <t>Normal</t>
        </is>
      </c>
    </row>
    <row r="522" ht="15" customHeight="1" s="11">
      <c r="A522" s="13" t="n">
        <v>521</v>
      </c>
      <c r="B522" s="13" t="inlineStr">
        <is>
          <t>COW018</t>
        </is>
      </c>
      <c r="C522" s="13" t="inlineStr">
        <is>
          <t>RFID100018</t>
        </is>
      </c>
      <c r="D522" s="13" t="inlineStr">
        <is>
          <t>2024-01-11</t>
        </is>
      </c>
      <c r="E522" s="13" t="inlineStr">
        <is>
          <t>08:00</t>
        </is>
      </c>
      <c r="F522" s="13" t="n">
        <v>7.82</v>
      </c>
      <c r="G522" s="13" t="n">
        <v>7.7</v>
      </c>
      <c r="H522" s="13" t="n">
        <v>8.09</v>
      </c>
      <c r="I522" s="15">
        <f>F522+G522+H522</f>
        <v/>
      </c>
      <c r="J522" s="15">
        <f>ROUND((I522-22.8)/22.8*100,2)</f>
        <v/>
      </c>
      <c r="K522" s="15" t="inlineStr">
        <is>
          <t>Normal</t>
        </is>
      </c>
    </row>
    <row r="523" ht="15" customHeight="1" s="11">
      <c r="A523" s="14" t="n">
        <v>522</v>
      </c>
      <c r="B523" s="14" t="inlineStr">
        <is>
          <t>COW018</t>
        </is>
      </c>
      <c r="C523" s="14" t="inlineStr">
        <is>
          <t>RFID100018</t>
        </is>
      </c>
      <c r="D523" s="14" t="inlineStr">
        <is>
          <t>2024-01-12</t>
        </is>
      </c>
      <c r="E523" s="14" t="inlineStr">
        <is>
          <t>08:00</t>
        </is>
      </c>
      <c r="F523" s="14" t="n">
        <v>8.51</v>
      </c>
      <c r="G523" s="14" t="n">
        <v>6.7</v>
      </c>
      <c r="H523" s="14" t="n">
        <v>7.99</v>
      </c>
      <c r="I523" s="15">
        <f>F523+G523+H523</f>
        <v/>
      </c>
      <c r="J523" s="15">
        <f>ROUND((I523-22.8)/22.8*100,2)</f>
        <v/>
      </c>
      <c r="K523" s="15" t="inlineStr">
        <is>
          <t>Normal</t>
        </is>
      </c>
    </row>
    <row r="524" ht="15" customHeight="1" s="11">
      <c r="A524" s="13" t="n">
        <v>523</v>
      </c>
      <c r="B524" s="13" t="inlineStr">
        <is>
          <t>COW018</t>
        </is>
      </c>
      <c r="C524" s="13" t="inlineStr">
        <is>
          <t>RFID100018</t>
        </is>
      </c>
      <c r="D524" s="13" t="inlineStr">
        <is>
          <t>2024-01-13</t>
        </is>
      </c>
      <c r="E524" s="13" t="inlineStr">
        <is>
          <t>08:00</t>
        </is>
      </c>
      <c r="F524" s="13" t="n">
        <v>7.16</v>
      </c>
      <c r="G524" s="13" t="n">
        <v>8.06</v>
      </c>
      <c r="H524" s="13" t="n">
        <v>8.199999999999999</v>
      </c>
      <c r="I524" s="15">
        <f>F524+G524+H524</f>
        <v/>
      </c>
      <c r="J524" s="15">
        <f>ROUND((I524-22.8)/22.8*100,2)</f>
        <v/>
      </c>
      <c r="K524" s="15" t="inlineStr">
        <is>
          <t>Normal</t>
        </is>
      </c>
    </row>
    <row r="525" ht="15" customHeight="1" s="11">
      <c r="A525" s="14" t="n">
        <v>524</v>
      </c>
      <c r="B525" s="14" t="inlineStr">
        <is>
          <t>COW018</t>
        </is>
      </c>
      <c r="C525" s="14" t="inlineStr">
        <is>
          <t>RFID100018</t>
        </is>
      </c>
      <c r="D525" s="14" t="inlineStr">
        <is>
          <t>2024-01-14</t>
        </is>
      </c>
      <c r="E525" s="14" t="inlineStr">
        <is>
          <t>08:00</t>
        </is>
      </c>
      <c r="F525" s="14" t="n">
        <v>7.56</v>
      </c>
      <c r="G525" s="14" t="n">
        <v>7.29</v>
      </c>
      <c r="H525" s="14" t="n">
        <v>8.09</v>
      </c>
      <c r="I525" s="15">
        <f>F525+G525+H525</f>
        <v/>
      </c>
      <c r="J525" s="15">
        <f>ROUND((I525-22.8)/22.8*100,2)</f>
        <v/>
      </c>
      <c r="K525" s="15" t="inlineStr">
        <is>
          <t>Normal</t>
        </is>
      </c>
    </row>
    <row r="526" ht="15" customHeight="1" s="11">
      <c r="A526" s="13" t="n">
        <v>525</v>
      </c>
      <c r="B526" s="13" t="inlineStr">
        <is>
          <t>COW018</t>
        </is>
      </c>
      <c r="C526" s="13" t="inlineStr">
        <is>
          <t>RFID100018</t>
        </is>
      </c>
      <c r="D526" s="13" t="inlineStr">
        <is>
          <t>2024-01-15</t>
        </is>
      </c>
      <c r="E526" s="13" t="inlineStr">
        <is>
          <t>08:00</t>
        </is>
      </c>
      <c r="F526" s="13" t="n">
        <v>8.59</v>
      </c>
      <c r="G526" s="13" t="n">
        <v>8.07</v>
      </c>
      <c r="H526" s="13" t="n">
        <v>7.98</v>
      </c>
      <c r="I526" s="15">
        <f>F526+G526+H526</f>
        <v/>
      </c>
      <c r="J526" s="15">
        <f>ROUND((I526-22.8)/22.8*100,2)</f>
        <v/>
      </c>
      <c r="K526" s="15" t="inlineStr">
        <is>
          <t>Normal</t>
        </is>
      </c>
    </row>
    <row r="527" ht="15" customHeight="1" s="11">
      <c r="A527" s="14" t="n">
        <v>526</v>
      </c>
      <c r="B527" s="14" t="inlineStr">
        <is>
          <t>COW018</t>
        </is>
      </c>
      <c r="C527" s="14" t="inlineStr">
        <is>
          <t>RFID100018</t>
        </is>
      </c>
      <c r="D527" s="14" t="inlineStr">
        <is>
          <t>2024-01-16</t>
        </is>
      </c>
      <c r="E527" s="14" t="inlineStr">
        <is>
          <t>08:00</t>
        </is>
      </c>
      <c r="F527" s="14" t="n">
        <v>6.86</v>
      </c>
      <c r="G527" s="14" t="n">
        <v>7.42</v>
      </c>
      <c r="H527" s="14" t="n">
        <v>6.58</v>
      </c>
      <c r="I527" s="15">
        <f>F527+G527+H527</f>
        <v/>
      </c>
      <c r="J527" s="15">
        <f>ROUND((I527-22.8)/22.8*100,2)</f>
        <v/>
      </c>
      <c r="K527" s="15" t="inlineStr">
        <is>
          <t>Normal</t>
        </is>
      </c>
    </row>
    <row r="528" ht="15" customHeight="1" s="11">
      <c r="A528" s="13" t="n">
        <v>527</v>
      </c>
      <c r="B528" s="13" t="inlineStr">
        <is>
          <t>COW018</t>
        </is>
      </c>
      <c r="C528" s="13" t="inlineStr">
        <is>
          <t>RFID100018</t>
        </is>
      </c>
      <c r="D528" s="13" t="inlineStr">
        <is>
          <t>2024-01-17</t>
        </is>
      </c>
      <c r="E528" s="13" t="inlineStr">
        <is>
          <t>08:00</t>
        </is>
      </c>
      <c r="F528" s="13" t="n">
        <v>8.630000000000001</v>
      </c>
      <c r="G528" s="13" t="n">
        <v>6.9</v>
      </c>
      <c r="H528" s="13" t="n">
        <v>8.19</v>
      </c>
      <c r="I528" s="15">
        <f>F528+G528+H528</f>
        <v/>
      </c>
      <c r="J528" s="15">
        <f>ROUND((I528-22.8)/22.8*100,2)</f>
        <v/>
      </c>
      <c r="K528" s="15" t="inlineStr">
        <is>
          <t>Normal</t>
        </is>
      </c>
    </row>
    <row r="529" ht="15" customHeight="1" s="11">
      <c r="A529" s="14" t="n">
        <v>528</v>
      </c>
      <c r="B529" s="14" t="inlineStr">
        <is>
          <t>COW018</t>
        </is>
      </c>
      <c r="C529" s="14" t="inlineStr">
        <is>
          <t>RFID100018</t>
        </is>
      </c>
      <c r="D529" s="14" t="inlineStr">
        <is>
          <t>2024-01-18</t>
        </is>
      </c>
      <c r="E529" s="14" t="inlineStr">
        <is>
          <t>08:00</t>
        </is>
      </c>
      <c r="F529" s="14" t="n">
        <v>7.83</v>
      </c>
      <c r="G529" s="14" t="n">
        <v>7.28</v>
      </c>
      <c r="H529" s="14" t="n">
        <v>8.1</v>
      </c>
      <c r="I529" s="15">
        <f>F529+G529+H529</f>
        <v/>
      </c>
      <c r="J529" s="15">
        <f>ROUND((I529-22.8)/22.8*100,2)</f>
        <v/>
      </c>
      <c r="K529" s="15" t="inlineStr">
        <is>
          <t>Normal</t>
        </is>
      </c>
    </row>
    <row r="530" ht="15" customHeight="1" s="11">
      <c r="A530" s="13" t="n">
        <v>529</v>
      </c>
      <c r="B530" s="13" t="inlineStr">
        <is>
          <t>COW018</t>
        </is>
      </c>
      <c r="C530" s="13" t="inlineStr">
        <is>
          <t>RFID100018</t>
        </is>
      </c>
      <c r="D530" s="13" t="inlineStr">
        <is>
          <t>2024-01-19</t>
        </is>
      </c>
      <c r="E530" s="13" t="inlineStr">
        <is>
          <t>08:00</t>
        </is>
      </c>
      <c r="F530" s="13" t="n">
        <v>8.390000000000001</v>
      </c>
      <c r="G530" s="13" t="n">
        <v>7.24</v>
      </c>
      <c r="H530" s="13" t="n">
        <v>6.74</v>
      </c>
      <c r="I530" s="15">
        <f>F530+G530+H530</f>
        <v/>
      </c>
      <c r="J530" s="15">
        <f>ROUND((I530-22.8)/22.8*100,2)</f>
        <v/>
      </c>
      <c r="K530" s="15" t="inlineStr">
        <is>
          <t>Normal</t>
        </is>
      </c>
    </row>
    <row r="531" ht="15" customHeight="1" s="11">
      <c r="A531" s="14" t="n">
        <v>530</v>
      </c>
      <c r="B531" s="14" t="inlineStr">
        <is>
          <t>COW018</t>
        </is>
      </c>
      <c r="C531" s="14" t="inlineStr">
        <is>
          <t>RFID100018</t>
        </is>
      </c>
      <c r="D531" s="14" t="inlineStr">
        <is>
          <t>2024-01-20</t>
        </is>
      </c>
      <c r="E531" s="14" t="inlineStr">
        <is>
          <t>08:00</t>
        </is>
      </c>
      <c r="F531" s="14" t="n">
        <v>7.05</v>
      </c>
      <c r="G531" s="14" t="n">
        <v>6.68</v>
      </c>
      <c r="H531" s="14" t="n">
        <v>7.22</v>
      </c>
      <c r="I531" s="15">
        <f>F531+G531+H531</f>
        <v/>
      </c>
      <c r="J531" s="15">
        <f>ROUND((I531-22.8)/22.8*100,2)</f>
        <v/>
      </c>
      <c r="K531" s="15" t="inlineStr">
        <is>
          <t>Normal</t>
        </is>
      </c>
    </row>
    <row r="532" ht="15" customHeight="1" s="11">
      <c r="A532" s="13" t="n">
        <v>531</v>
      </c>
      <c r="B532" s="13" t="inlineStr">
        <is>
          <t>COW018</t>
        </is>
      </c>
      <c r="C532" s="13" t="inlineStr">
        <is>
          <t>RFID100018</t>
        </is>
      </c>
      <c r="D532" s="13" t="inlineStr">
        <is>
          <t>2024-01-21</t>
        </is>
      </c>
      <c r="E532" s="13" t="inlineStr">
        <is>
          <t>08:00</t>
        </is>
      </c>
      <c r="F532" s="13" t="n">
        <v>7.31</v>
      </c>
      <c r="G532" s="13" t="n">
        <v>6.72</v>
      </c>
      <c r="H532" s="13" t="n">
        <v>7.73</v>
      </c>
      <c r="I532" s="15">
        <f>F532+G532+H532</f>
        <v/>
      </c>
      <c r="J532" s="15">
        <f>ROUND((I532-22.8)/22.8*100,2)</f>
        <v/>
      </c>
      <c r="K532" s="15" t="inlineStr">
        <is>
          <t>Normal</t>
        </is>
      </c>
    </row>
    <row r="533" ht="15" customHeight="1" s="11">
      <c r="A533" s="14" t="n">
        <v>532</v>
      </c>
      <c r="B533" s="14" t="inlineStr">
        <is>
          <t>COW018</t>
        </is>
      </c>
      <c r="C533" s="14" t="inlineStr">
        <is>
          <t>RFID100018</t>
        </is>
      </c>
      <c r="D533" s="14" t="inlineStr">
        <is>
          <t>2024-01-22</t>
        </is>
      </c>
      <c r="E533" s="14" t="inlineStr">
        <is>
          <t>08:00</t>
        </is>
      </c>
      <c r="F533" s="14" t="n">
        <v>8.279999999999999</v>
      </c>
      <c r="G533" s="14" t="n">
        <v>7.42</v>
      </c>
      <c r="H533" s="14" t="n">
        <v>7.77</v>
      </c>
      <c r="I533" s="15">
        <f>F533+G533+H533</f>
        <v/>
      </c>
      <c r="J533" s="15">
        <f>ROUND((I533-22.8)/22.8*100,2)</f>
        <v/>
      </c>
      <c r="K533" s="15" t="inlineStr">
        <is>
          <t>Normal</t>
        </is>
      </c>
    </row>
    <row r="534" ht="15" customHeight="1" s="11">
      <c r="A534" s="13" t="n">
        <v>533</v>
      </c>
      <c r="B534" s="13" t="inlineStr">
        <is>
          <t>COW018</t>
        </is>
      </c>
      <c r="C534" s="13" t="inlineStr">
        <is>
          <t>RFID100018</t>
        </is>
      </c>
      <c r="D534" s="13" t="inlineStr">
        <is>
          <t>2024-01-23</t>
        </is>
      </c>
      <c r="E534" s="13" t="inlineStr">
        <is>
          <t>08:00</t>
        </is>
      </c>
      <c r="F534" s="13" t="n">
        <v>7.16</v>
      </c>
      <c r="G534" s="13" t="n">
        <v>7.95</v>
      </c>
      <c r="H534" s="13" t="n">
        <v>8.02</v>
      </c>
      <c r="I534" s="15">
        <f>F534+G534+H534</f>
        <v/>
      </c>
      <c r="J534" s="15">
        <f>ROUND((I534-22.8)/22.8*100,2)</f>
        <v/>
      </c>
      <c r="K534" s="15" t="inlineStr">
        <is>
          <t>Normal</t>
        </is>
      </c>
    </row>
    <row r="535" ht="15" customHeight="1" s="11">
      <c r="A535" s="14" t="n">
        <v>534</v>
      </c>
      <c r="B535" s="14" t="inlineStr">
        <is>
          <t>COW018</t>
        </is>
      </c>
      <c r="C535" s="14" t="inlineStr">
        <is>
          <t>RFID100018</t>
        </is>
      </c>
      <c r="D535" s="14" t="inlineStr">
        <is>
          <t>2024-01-24</t>
        </is>
      </c>
      <c r="E535" s="14" t="inlineStr">
        <is>
          <t>08:00</t>
        </is>
      </c>
      <c r="F535" s="14" t="n">
        <v>8.35</v>
      </c>
      <c r="G535" s="14" t="n">
        <v>7.32</v>
      </c>
      <c r="H535" s="14" t="n">
        <v>6.54</v>
      </c>
      <c r="I535" s="15">
        <f>F535+G535+H535</f>
        <v/>
      </c>
      <c r="J535" s="15">
        <f>ROUND((I535-22.8)/22.8*100,2)</f>
        <v/>
      </c>
      <c r="K535" s="15" t="inlineStr">
        <is>
          <t>Normal</t>
        </is>
      </c>
    </row>
    <row r="536" ht="15" customHeight="1" s="11">
      <c r="A536" s="13" t="n">
        <v>535</v>
      </c>
      <c r="B536" s="13" t="inlineStr">
        <is>
          <t>COW018</t>
        </is>
      </c>
      <c r="C536" s="13" t="inlineStr">
        <is>
          <t>RFID100018</t>
        </is>
      </c>
      <c r="D536" s="13" t="inlineStr">
        <is>
          <t>2024-01-25</t>
        </is>
      </c>
      <c r="E536" s="13" t="inlineStr">
        <is>
          <t>08:00</t>
        </is>
      </c>
      <c r="F536" s="13" t="n">
        <v>8.06</v>
      </c>
      <c r="G536" s="13" t="n">
        <v>6.72</v>
      </c>
      <c r="H536" s="13" t="n">
        <v>6.64</v>
      </c>
      <c r="I536" s="15">
        <f>F536+G536+H536</f>
        <v/>
      </c>
      <c r="J536" s="15">
        <f>ROUND((I536-22.8)/22.8*100,2)</f>
        <v/>
      </c>
      <c r="K536" s="15" t="inlineStr">
        <is>
          <t>Normal</t>
        </is>
      </c>
    </row>
    <row r="537" ht="15" customHeight="1" s="11">
      <c r="A537" s="14" t="n">
        <v>536</v>
      </c>
      <c r="B537" s="14" t="inlineStr">
        <is>
          <t>COW018</t>
        </is>
      </c>
      <c r="C537" s="14" t="inlineStr">
        <is>
          <t>RFID100018</t>
        </is>
      </c>
      <c r="D537" s="14" t="inlineStr">
        <is>
          <t>2024-01-26</t>
        </is>
      </c>
      <c r="E537" s="14" t="inlineStr">
        <is>
          <t>08:00</t>
        </is>
      </c>
      <c r="F537" s="14" t="n">
        <v>7.43</v>
      </c>
      <c r="G537" s="14" t="n">
        <v>6.84</v>
      </c>
      <c r="H537" s="14" t="n">
        <v>6.86</v>
      </c>
      <c r="I537" s="15">
        <f>F537+G537+H537</f>
        <v/>
      </c>
      <c r="J537" s="15">
        <f>ROUND((I537-22.8)/22.8*100,2)</f>
        <v/>
      </c>
      <c r="K537" s="15" t="inlineStr">
        <is>
          <t>Normal</t>
        </is>
      </c>
    </row>
    <row r="538" ht="15" customHeight="1" s="11">
      <c r="A538" s="13" t="n">
        <v>537</v>
      </c>
      <c r="B538" s="13" t="inlineStr">
        <is>
          <t>COW018</t>
        </is>
      </c>
      <c r="C538" s="13" t="inlineStr">
        <is>
          <t>RFID100018</t>
        </is>
      </c>
      <c r="D538" s="13" t="inlineStr">
        <is>
          <t>2024-01-27</t>
        </is>
      </c>
      <c r="E538" s="13" t="inlineStr">
        <is>
          <t>08:00</t>
        </is>
      </c>
      <c r="F538" s="13" t="n">
        <v>7.27</v>
      </c>
      <c r="G538" s="13" t="n">
        <v>7.76</v>
      </c>
      <c r="H538" s="13" t="n">
        <v>8.119999999999999</v>
      </c>
      <c r="I538" s="15">
        <f>F538+G538+H538</f>
        <v/>
      </c>
      <c r="J538" s="15">
        <f>ROUND((I538-22.8)/22.8*100,2)</f>
        <v/>
      </c>
      <c r="K538" s="15" t="inlineStr">
        <is>
          <t>Normal</t>
        </is>
      </c>
    </row>
    <row r="539" ht="15" customHeight="1" s="11">
      <c r="A539" s="14" t="n">
        <v>538</v>
      </c>
      <c r="B539" s="14" t="inlineStr">
        <is>
          <t>COW018</t>
        </is>
      </c>
      <c r="C539" s="14" t="inlineStr">
        <is>
          <t>RFID100018</t>
        </is>
      </c>
      <c r="D539" s="14" t="inlineStr">
        <is>
          <t>2024-01-28</t>
        </is>
      </c>
      <c r="E539" s="14" t="inlineStr">
        <is>
          <t>08:00</t>
        </is>
      </c>
      <c r="F539" s="14" t="n">
        <v>7.39</v>
      </c>
      <c r="G539" s="14" t="n">
        <v>7.7</v>
      </c>
      <c r="H539" s="14" t="n">
        <v>6.4</v>
      </c>
      <c r="I539" s="15">
        <f>F539+G539+H539</f>
        <v/>
      </c>
      <c r="J539" s="15">
        <f>ROUND((I539-22.8)/22.8*100,2)</f>
        <v/>
      </c>
      <c r="K539" s="15" t="inlineStr">
        <is>
          <t>Normal</t>
        </is>
      </c>
    </row>
    <row r="540" ht="15" customHeight="1" s="11">
      <c r="A540" s="13" t="n">
        <v>539</v>
      </c>
      <c r="B540" s="13" t="inlineStr">
        <is>
          <t>COW018</t>
        </is>
      </c>
      <c r="C540" s="13" t="inlineStr">
        <is>
          <t>RFID100018</t>
        </is>
      </c>
      <c r="D540" s="13" t="inlineStr">
        <is>
          <t>2024-01-29</t>
        </is>
      </c>
      <c r="E540" s="13" t="inlineStr">
        <is>
          <t>08:00</t>
        </is>
      </c>
      <c r="F540" s="13" t="n">
        <v>8.029999999999999</v>
      </c>
      <c r="G540" s="13" t="n">
        <v>7.65</v>
      </c>
      <c r="H540" s="13" t="n">
        <v>6.5</v>
      </c>
      <c r="I540" s="15">
        <f>F540+G540+H540</f>
        <v/>
      </c>
      <c r="J540" s="15">
        <f>ROUND((I540-22.8)/22.8*100,2)</f>
        <v/>
      </c>
      <c r="K540" s="15" t="inlineStr">
        <is>
          <t>Normal</t>
        </is>
      </c>
    </row>
    <row r="541" ht="15" customHeight="1" s="11">
      <c r="A541" s="14" t="n">
        <v>540</v>
      </c>
      <c r="B541" s="14" t="inlineStr">
        <is>
          <t>COW018</t>
        </is>
      </c>
      <c r="C541" s="14" t="inlineStr">
        <is>
          <t>RFID100018</t>
        </is>
      </c>
      <c r="D541" s="14" t="inlineStr">
        <is>
          <t>2024-01-30</t>
        </is>
      </c>
      <c r="E541" s="14" t="inlineStr">
        <is>
          <t>08:00</t>
        </is>
      </c>
      <c r="F541" s="14" t="n">
        <v>7.06</v>
      </c>
      <c r="G541" s="14" t="n">
        <v>6.94</v>
      </c>
      <c r="H541" s="14" t="n">
        <v>7.12</v>
      </c>
      <c r="I541" s="15">
        <f>F541+G541+H541</f>
        <v/>
      </c>
      <c r="J541" s="15">
        <f>ROUND((I541-22.8)/22.8*100,2)</f>
        <v/>
      </c>
      <c r="K541" s="15" t="inlineStr">
        <is>
          <t>Normal</t>
        </is>
      </c>
    </row>
    <row r="542" ht="15" customHeight="1" s="11">
      <c r="A542" s="13" t="n">
        <v>541</v>
      </c>
      <c r="B542" s="13" t="inlineStr">
        <is>
          <t>COW019</t>
        </is>
      </c>
      <c r="C542" s="13" t="inlineStr">
        <is>
          <t>RFID100019</t>
        </is>
      </c>
      <c r="D542" s="13" t="inlineStr">
        <is>
          <t>2024-01-01</t>
        </is>
      </c>
      <c r="E542" s="13" t="inlineStr">
        <is>
          <t>08:00</t>
        </is>
      </c>
      <c r="F542" s="13" t="n">
        <v>8.550000000000001</v>
      </c>
      <c r="G542" s="13" t="n">
        <v>7.73</v>
      </c>
      <c r="H542" s="13" t="n">
        <v>7.01</v>
      </c>
      <c r="I542" s="15">
        <f>F542+G542+H542</f>
        <v/>
      </c>
      <c r="J542" s="15">
        <f>ROUND((I542-23)/23*100,2)</f>
        <v/>
      </c>
      <c r="K542" s="15" t="inlineStr">
        <is>
          <t>Normal</t>
        </is>
      </c>
    </row>
    <row r="543" ht="15" customHeight="1" s="11">
      <c r="A543" s="14" t="n">
        <v>542</v>
      </c>
      <c r="B543" s="14" t="inlineStr">
        <is>
          <t>COW019</t>
        </is>
      </c>
      <c r="C543" s="14" t="inlineStr">
        <is>
          <t>RFID100019</t>
        </is>
      </c>
      <c r="D543" s="14" t="inlineStr">
        <is>
          <t>2024-01-02</t>
        </is>
      </c>
      <c r="E543" s="14" t="inlineStr">
        <is>
          <t>08:00</t>
        </is>
      </c>
      <c r="F543" s="14" t="n">
        <v>7.12</v>
      </c>
      <c r="G543" s="14" t="n">
        <v>8.130000000000001</v>
      </c>
      <c r="H543" s="14" t="n">
        <v>6.98</v>
      </c>
      <c r="I543" s="15">
        <f>F543+G543+H543</f>
        <v/>
      </c>
      <c r="J543" s="15">
        <f>ROUND((I543-23)/23*100,2)</f>
        <v/>
      </c>
      <c r="K543" s="15" t="inlineStr">
        <is>
          <t>Normal</t>
        </is>
      </c>
    </row>
    <row r="544" ht="15" customHeight="1" s="11">
      <c r="A544" s="13" t="n">
        <v>543</v>
      </c>
      <c r="B544" s="13" t="inlineStr">
        <is>
          <t>COW019</t>
        </is>
      </c>
      <c r="C544" s="13" t="inlineStr">
        <is>
          <t>RFID100019</t>
        </is>
      </c>
      <c r="D544" s="13" t="inlineStr">
        <is>
          <t>2024-01-03</t>
        </is>
      </c>
      <c r="E544" s="13" t="inlineStr">
        <is>
          <t>08:00</t>
        </is>
      </c>
      <c r="F544" s="13" t="n">
        <v>8.029999999999999</v>
      </c>
      <c r="G544" s="13" t="n">
        <v>6.84</v>
      </c>
      <c r="H544" s="13" t="n">
        <v>6.69</v>
      </c>
      <c r="I544" s="15">
        <f>F544+G544+H544</f>
        <v/>
      </c>
      <c r="J544" s="15">
        <f>ROUND((I544-23)/23*100,2)</f>
        <v/>
      </c>
      <c r="K544" s="15" t="inlineStr">
        <is>
          <t>Normal</t>
        </is>
      </c>
    </row>
    <row r="545" ht="15" customHeight="1" s="11">
      <c r="A545" s="14" t="n">
        <v>544</v>
      </c>
      <c r="B545" s="14" t="inlineStr">
        <is>
          <t>COW019</t>
        </is>
      </c>
      <c r="C545" s="14" t="inlineStr">
        <is>
          <t>RFID100019</t>
        </is>
      </c>
      <c r="D545" s="14" t="inlineStr">
        <is>
          <t>2024-01-04</t>
        </is>
      </c>
      <c r="E545" s="14" t="inlineStr">
        <is>
          <t>08:00</t>
        </is>
      </c>
      <c r="F545" s="14" t="n">
        <v>7.18</v>
      </c>
      <c r="G545" s="14" t="n">
        <v>7.82</v>
      </c>
      <c r="H545" s="14" t="n">
        <v>7.55</v>
      </c>
      <c r="I545" s="15">
        <f>F545+G545+H545</f>
        <v/>
      </c>
      <c r="J545" s="15">
        <f>ROUND((I545-23)/23*100,2)</f>
        <v/>
      </c>
      <c r="K545" s="15" t="inlineStr">
        <is>
          <t>Normal</t>
        </is>
      </c>
    </row>
    <row r="546" ht="15" customHeight="1" s="11">
      <c r="A546" s="13" t="n">
        <v>545</v>
      </c>
      <c r="B546" s="13" t="inlineStr">
        <is>
          <t>COW019</t>
        </is>
      </c>
      <c r="C546" s="13" t="inlineStr">
        <is>
          <t>RFID100019</t>
        </is>
      </c>
      <c r="D546" s="13" t="inlineStr">
        <is>
          <t>2024-01-05</t>
        </is>
      </c>
      <c r="E546" s="13" t="inlineStr">
        <is>
          <t>08:00</t>
        </is>
      </c>
      <c r="F546" s="13" t="n">
        <v>7.67</v>
      </c>
      <c r="G546" s="13" t="n">
        <v>7.45</v>
      </c>
      <c r="H546" s="13" t="n">
        <v>7.31</v>
      </c>
      <c r="I546" s="15">
        <f>F546+G546+H546</f>
        <v/>
      </c>
      <c r="J546" s="15">
        <f>ROUND((I546-23)/23*100,2)</f>
        <v/>
      </c>
      <c r="K546" s="15" t="inlineStr">
        <is>
          <t>Normal</t>
        </is>
      </c>
    </row>
    <row r="547" ht="15" customHeight="1" s="11">
      <c r="A547" s="14" t="n">
        <v>546</v>
      </c>
      <c r="B547" s="14" t="inlineStr">
        <is>
          <t>COW019</t>
        </is>
      </c>
      <c r="C547" s="14" t="inlineStr">
        <is>
          <t>RFID100019</t>
        </is>
      </c>
      <c r="D547" s="14" t="inlineStr">
        <is>
          <t>2024-01-06</t>
        </is>
      </c>
      <c r="E547" s="14" t="inlineStr">
        <is>
          <t>08:00</t>
        </is>
      </c>
      <c r="F547" s="14" t="n">
        <v>7.89</v>
      </c>
      <c r="G547" s="14" t="n">
        <v>7.66</v>
      </c>
      <c r="H547" s="14" t="n">
        <v>6.84</v>
      </c>
      <c r="I547" s="15">
        <f>F547+G547+H547</f>
        <v/>
      </c>
      <c r="J547" s="15">
        <f>ROUND((I547-23)/23*100,2)</f>
        <v/>
      </c>
      <c r="K547" s="15" t="inlineStr">
        <is>
          <t>Normal</t>
        </is>
      </c>
    </row>
    <row r="548" ht="15" customHeight="1" s="11">
      <c r="A548" s="13" t="n">
        <v>547</v>
      </c>
      <c r="B548" s="13" t="inlineStr">
        <is>
          <t>COW019</t>
        </is>
      </c>
      <c r="C548" s="13" t="inlineStr">
        <is>
          <t>RFID100019</t>
        </is>
      </c>
      <c r="D548" s="13" t="inlineStr">
        <is>
          <t>2024-01-07</t>
        </is>
      </c>
      <c r="E548" s="13" t="inlineStr">
        <is>
          <t>08:00</t>
        </is>
      </c>
      <c r="F548" s="13" t="n">
        <v>7.36</v>
      </c>
      <c r="G548" s="13" t="n">
        <v>7.83</v>
      </c>
      <c r="H548" s="13" t="n">
        <v>8.050000000000001</v>
      </c>
      <c r="I548" s="15">
        <f>F548+G548+H548</f>
        <v/>
      </c>
      <c r="J548" s="15">
        <f>ROUND((I548-23)/23*100,2)</f>
        <v/>
      </c>
      <c r="K548" s="15" t="inlineStr">
        <is>
          <t>Normal</t>
        </is>
      </c>
    </row>
    <row r="549" ht="15" customHeight="1" s="11">
      <c r="A549" s="14" t="n">
        <v>548</v>
      </c>
      <c r="B549" s="14" t="inlineStr">
        <is>
          <t>COW019</t>
        </is>
      </c>
      <c r="C549" s="14" t="inlineStr">
        <is>
          <t>RFID100019</t>
        </is>
      </c>
      <c r="D549" s="14" t="inlineStr">
        <is>
          <t>2024-01-08</t>
        </is>
      </c>
      <c r="E549" s="14" t="inlineStr">
        <is>
          <t>08:00</t>
        </is>
      </c>
      <c r="F549" s="14" t="n">
        <v>7.05</v>
      </c>
      <c r="G549" s="14" t="n">
        <v>7.26</v>
      </c>
      <c r="H549" s="14" t="n">
        <v>7.73</v>
      </c>
      <c r="I549" s="15">
        <f>F549+G549+H549</f>
        <v/>
      </c>
      <c r="J549" s="15">
        <f>ROUND((I549-23)/23*100,2)</f>
        <v/>
      </c>
      <c r="K549" s="15" t="inlineStr">
        <is>
          <t>Normal</t>
        </is>
      </c>
    </row>
    <row r="550" ht="15" customHeight="1" s="11">
      <c r="A550" s="13" t="n">
        <v>549</v>
      </c>
      <c r="B550" s="13" t="inlineStr">
        <is>
          <t>COW019</t>
        </is>
      </c>
      <c r="C550" s="13" t="inlineStr">
        <is>
          <t>RFID100019</t>
        </is>
      </c>
      <c r="D550" s="13" t="inlineStr">
        <is>
          <t>2024-01-09</t>
        </is>
      </c>
      <c r="E550" s="13" t="inlineStr">
        <is>
          <t>08:00</t>
        </is>
      </c>
      <c r="F550" s="13" t="n">
        <v>7.04</v>
      </c>
      <c r="G550" s="13" t="n">
        <v>7.48</v>
      </c>
      <c r="H550" s="13" t="n">
        <v>6.55</v>
      </c>
      <c r="I550" s="15">
        <f>F550+G550+H550</f>
        <v/>
      </c>
      <c r="J550" s="15">
        <f>ROUND((I550-23)/23*100,2)</f>
        <v/>
      </c>
      <c r="K550" s="15" t="inlineStr">
        <is>
          <t>Normal</t>
        </is>
      </c>
    </row>
    <row r="551" ht="15" customHeight="1" s="11">
      <c r="A551" s="14" t="n">
        <v>550</v>
      </c>
      <c r="B551" s="14" t="inlineStr">
        <is>
          <t>COW019</t>
        </is>
      </c>
      <c r="C551" s="14" t="inlineStr">
        <is>
          <t>RFID100019</t>
        </is>
      </c>
      <c r="D551" s="14" t="inlineStr">
        <is>
          <t>2024-01-10</t>
        </is>
      </c>
      <c r="E551" s="14" t="inlineStr">
        <is>
          <t>08:00</t>
        </is>
      </c>
      <c r="F551" s="14" t="n">
        <v>7.91</v>
      </c>
      <c r="G551" s="14" t="n">
        <v>7.37</v>
      </c>
      <c r="H551" s="14" t="n">
        <v>7.49</v>
      </c>
      <c r="I551" s="15">
        <f>F551+G551+H551</f>
        <v/>
      </c>
      <c r="J551" s="15">
        <f>ROUND((I551-23)/23*100,2)</f>
        <v/>
      </c>
      <c r="K551" s="15" t="inlineStr">
        <is>
          <t>Normal</t>
        </is>
      </c>
    </row>
    <row r="552" ht="15" customHeight="1" s="11">
      <c r="A552" s="13" t="n">
        <v>551</v>
      </c>
      <c r="B552" s="13" t="inlineStr">
        <is>
          <t>COW019</t>
        </is>
      </c>
      <c r="C552" s="13" t="inlineStr">
        <is>
          <t>RFID100019</t>
        </is>
      </c>
      <c r="D552" s="13" t="inlineStr">
        <is>
          <t>2024-01-11</t>
        </is>
      </c>
      <c r="E552" s="13" t="inlineStr">
        <is>
          <t>08:00</t>
        </is>
      </c>
      <c r="F552" s="13" t="n">
        <v>7.18</v>
      </c>
      <c r="G552" s="13" t="n">
        <v>7.04</v>
      </c>
      <c r="H552" s="13" t="n">
        <v>7.4</v>
      </c>
      <c r="I552" s="15">
        <f>F552+G552+H552</f>
        <v/>
      </c>
      <c r="J552" s="15">
        <f>ROUND((I552-23)/23*100,2)</f>
        <v/>
      </c>
      <c r="K552" s="15" t="inlineStr">
        <is>
          <t>Normal</t>
        </is>
      </c>
    </row>
    <row r="553" ht="15" customHeight="1" s="11">
      <c r="A553" s="14" t="n">
        <v>552</v>
      </c>
      <c r="B553" s="14" t="inlineStr">
        <is>
          <t>COW019</t>
        </is>
      </c>
      <c r="C553" s="14" t="inlineStr">
        <is>
          <t>RFID100019</t>
        </is>
      </c>
      <c r="D553" s="14" t="inlineStr">
        <is>
          <t>2024-01-12</t>
        </is>
      </c>
      <c r="E553" s="14" t="inlineStr">
        <is>
          <t>08:00</t>
        </is>
      </c>
      <c r="F553" s="14" t="n">
        <v>7.11</v>
      </c>
      <c r="G553" s="14" t="n">
        <v>6.82</v>
      </c>
      <c r="H553" s="14" t="n">
        <v>7.51</v>
      </c>
      <c r="I553" s="15">
        <f>F553+G553+H553</f>
        <v/>
      </c>
      <c r="J553" s="15">
        <f>ROUND((I553-23)/23*100,2)</f>
        <v/>
      </c>
      <c r="K553" s="15" t="inlineStr">
        <is>
          <t>Normal</t>
        </is>
      </c>
    </row>
    <row r="554" ht="15" customHeight="1" s="11">
      <c r="A554" s="13" t="n">
        <v>553</v>
      </c>
      <c r="B554" s="13" t="inlineStr">
        <is>
          <t>COW019</t>
        </is>
      </c>
      <c r="C554" s="13" t="inlineStr">
        <is>
          <t>RFID100019</t>
        </is>
      </c>
      <c r="D554" s="13" t="inlineStr">
        <is>
          <t>2024-01-13</t>
        </is>
      </c>
      <c r="E554" s="13" t="inlineStr">
        <is>
          <t>08:00</t>
        </is>
      </c>
      <c r="F554" s="13" t="n">
        <v>7.07</v>
      </c>
      <c r="G554" s="13" t="n">
        <v>7.38</v>
      </c>
      <c r="H554" s="13" t="n">
        <v>7.93</v>
      </c>
      <c r="I554" s="15">
        <f>F554+G554+H554</f>
        <v/>
      </c>
      <c r="J554" s="15">
        <f>ROUND((I554-23)/23*100,2)</f>
        <v/>
      </c>
      <c r="K554" s="15" t="inlineStr">
        <is>
          <t>Normal</t>
        </is>
      </c>
    </row>
    <row r="555" ht="15" customHeight="1" s="11">
      <c r="A555" s="14" t="n">
        <v>554</v>
      </c>
      <c r="B555" s="14" t="inlineStr">
        <is>
          <t>COW019</t>
        </is>
      </c>
      <c r="C555" s="14" t="inlineStr">
        <is>
          <t>RFID100019</t>
        </is>
      </c>
      <c r="D555" s="14" t="inlineStr">
        <is>
          <t>2024-01-14</t>
        </is>
      </c>
      <c r="E555" s="14" t="inlineStr">
        <is>
          <t>08:00</t>
        </is>
      </c>
      <c r="F555" s="14" t="n">
        <v>7.73</v>
      </c>
      <c r="G555" s="14" t="n">
        <v>7.38</v>
      </c>
      <c r="H555" s="14" t="n">
        <v>7.28</v>
      </c>
      <c r="I555" s="15">
        <f>F555+G555+H555</f>
        <v/>
      </c>
      <c r="J555" s="15">
        <f>ROUND((I555-23)/23*100,2)</f>
        <v/>
      </c>
      <c r="K555" s="15" t="inlineStr">
        <is>
          <t>Normal</t>
        </is>
      </c>
    </row>
    <row r="556" ht="15" customHeight="1" s="11">
      <c r="A556" s="13" t="n">
        <v>555</v>
      </c>
      <c r="B556" s="13" t="inlineStr">
        <is>
          <t>COW019</t>
        </is>
      </c>
      <c r="C556" s="13" t="inlineStr">
        <is>
          <t>RFID100019</t>
        </is>
      </c>
      <c r="D556" s="13" t="inlineStr">
        <is>
          <t>2024-01-15</t>
        </is>
      </c>
      <c r="E556" s="13" t="inlineStr">
        <is>
          <t>08:00</t>
        </is>
      </c>
      <c r="F556" s="13" t="n">
        <v>7.01</v>
      </c>
      <c r="G556" s="13" t="n">
        <v>7.29</v>
      </c>
      <c r="H556" s="13" t="n">
        <v>7.92</v>
      </c>
      <c r="I556" s="15">
        <f>F556+G556+H556</f>
        <v/>
      </c>
      <c r="J556" s="15">
        <f>ROUND((I556-23)/23*100,2)</f>
        <v/>
      </c>
      <c r="K556" s="15" t="inlineStr">
        <is>
          <t>Normal</t>
        </is>
      </c>
    </row>
    <row r="557" ht="15" customHeight="1" s="11">
      <c r="A557" s="14" t="n">
        <v>556</v>
      </c>
      <c r="B557" s="14" t="inlineStr">
        <is>
          <t>COW019</t>
        </is>
      </c>
      <c r="C557" s="14" t="inlineStr">
        <is>
          <t>RFID100019</t>
        </is>
      </c>
      <c r="D557" s="14" t="inlineStr">
        <is>
          <t>2024-01-16</t>
        </is>
      </c>
      <c r="E557" s="14" t="inlineStr">
        <is>
          <t>08:00</t>
        </is>
      </c>
      <c r="F557" s="14" t="n">
        <v>8.23</v>
      </c>
      <c r="G557" s="14" t="n">
        <v>7.17</v>
      </c>
      <c r="H557" s="14" t="n">
        <v>7.94</v>
      </c>
      <c r="I557" s="15">
        <f>F557+G557+H557</f>
        <v/>
      </c>
      <c r="J557" s="15">
        <f>ROUND((I557-23)/23*100,2)</f>
        <v/>
      </c>
      <c r="K557" s="15" t="inlineStr">
        <is>
          <t>Normal</t>
        </is>
      </c>
    </row>
    <row r="558" ht="15" customHeight="1" s="11">
      <c r="A558" s="13" t="n">
        <v>557</v>
      </c>
      <c r="B558" s="13" t="inlineStr">
        <is>
          <t>COW019</t>
        </is>
      </c>
      <c r="C558" s="13" t="inlineStr">
        <is>
          <t>RFID100019</t>
        </is>
      </c>
      <c r="D558" s="13" t="inlineStr">
        <is>
          <t>2024-01-17</t>
        </is>
      </c>
      <c r="E558" s="13" t="inlineStr">
        <is>
          <t>08:00</t>
        </is>
      </c>
      <c r="F558" s="13" t="n">
        <v>8.27</v>
      </c>
      <c r="G558" s="13" t="n">
        <v>7.5</v>
      </c>
      <c r="H558" s="13" t="n">
        <v>6.52</v>
      </c>
      <c r="I558" s="15">
        <f>F558+G558+H558</f>
        <v/>
      </c>
      <c r="J558" s="15">
        <f>ROUND((I558-23)/23*100,2)</f>
        <v/>
      </c>
      <c r="K558" s="15" t="inlineStr">
        <is>
          <t>Normal</t>
        </is>
      </c>
    </row>
    <row r="559" ht="15" customHeight="1" s="11">
      <c r="A559" s="14" t="n">
        <v>558</v>
      </c>
      <c r="B559" s="14" t="inlineStr">
        <is>
          <t>COW019</t>
        </is>
      </c>
      <c r="C559" s="14" t="inlineStr">
        <is>
          <t>RFID100019</t>
        </is>
      </c>
      <c r="D559" s="14" t="inlineStr">
        <is>
          <t>2024-01-18</t>
        </is>
      </c>
      <c r="E559" s="14" t="inlineStr">
        <is>
          <t>08:00</t>
        </is>
      </c>
      <c r="F559" s="14" t="n">
        <v>7.53</v>
      </c>
      <c r="G559" s="14" t="n">
        <v>6.56</v>
      </c>
      <c r="H559" s="14" t="n">
        <v>8.27</v>
      </c>
      <c r="I559" s="15">
        <f>F559+G559+H559</f>
        <v/>
      </c>
      <c r="J559" s="15">
        <f>ROUND((I559-23)/23*100,2)</f>
        <v/>
      </c>
      <c r="K559" s="15" t="inlineStr">
        <is>
          <t>Normal</t>
        </is>
      </c>
    </row>
    <row r="560" ht="15" customHeight="1" s="11">
      <c r="A560" s="13" t="n">
        <v>559</v>
      </c>
      <c r="B560" s="13" t="inlineStr">
        <is>
          <t>COW019</t>
        </is>
      </c>
      <c r="C560" s="13" t="inlineStr">
        <is>
          <t>RFID100019</t>
        </is>
      </c>
      <c r="D560" s="13" t="inlineStr">
        <is>
          <t>2024-01-19</t>
        </is>
      </c>
      <c r="E560" s="13" t="inlineStr">
        <is>
          <t>08:00</t>
        </is>
      </c>
      <c r="F560" s="13" t="n">
        <v>8.619999999999999</v>
      </c>
      <c r="G560" s="13" t="n">
        <v>6.57</v>
      </c>
      <c r="H560" s="13" t="n">
        <v>8.16</v>
      </c>
      <c r="I560" s="15">
        <f>F560+G560+H560</f>
        <v/>
      </c>
      <c r="J560" s="15">
        <f>ROUND((I560-23)/23*100,2)</f>
        <v/>
      </c>
      <c r="K560" s="15" t="inlineStr">
        <is>
          <t>Normal</t>
        </is>
      </c>
    </row>
    <row r="561" ht="15" customHeight="1" s="11">
      <c r="A561" s="14" t="n">
        <v>560</v>
      </c>
      <c r="B561" s="14" t="inlineStr">
        <is>
          <t>COW019</t>
        </is>
      </c>
      <c r="C561" s="14" t="inlineStr">
        <is>
          <t>RFID100019</t>
        </is>
      </c>
      <c r="D561" s="14" t="inlineStr">
        <is>
          <t>2024-01-20</t>
        </is>
      </c>
      <c r="E561" s="14" t="inlineStr">
        <is>
          <t>08:00</t>
        </is>
      </c>
      <c r="F561" s="14" t="n">
        <v>6.96</v>
      </c>
      <c r="G561" s="14" t="n">
        <v>7.19</v>
      </c>
      <c r="H561" s="14" t="n">
        <v>7.85</v>
      </c>
      <c r="I561" s="15">
        <f>F561+G561+H561</f>
        <v/>
      </c>
      <c r="J561" s="15">
        <f>ROUND((I561-23)/23*100,2)</f>
        <v/>
      </c>
      <c r="K561" s="15" t="inlineStr">
        <is>
          <t>Normal</t>
        </is>
      </c>
    </row>
    <row r="562" ht="15" customHeight="1" s="11">
      <c r="A562" s="13" t="n">
        <v>561</v>
      </c>
      <c r="B562" s="13" t="inlineStr">
        <is>
          <t>COW019</t>
        </is>
      </c>
      <c r="C562" s="13" t="inlineStr">
        <is>
          <t>RFID100019</t>
        </is>
      </c>
      <c r="D562" s="13" t="inlineStr">
        <is>
          <t>2024-01-21</t>
        </is>
      </c>
      <c r="E562" s="13" t="inlineStr">
        <is>
          <t>08:00</t>
        </is>
      </c>
      <c r="F562" s="13" t="n">
        <v>8.31</v>
      </c>
      <c r="G562" s="13" t="n">
        <v>8.24</v>
      </c>
      <c r="H562" s="13" t="n">
        <v>7.63</v>
      </c>
      <c r="I562" s="15">
        <f>F562+G562+H562</f>
        <v/>
      </c>
      <c r="J562" s="15">
        <f>ROUND((I562-23)/23*100,2)</f>
        <v/>
      </c>
      <c r="K562" s="15" t="inlineStr">
        <is>
          <t>Normal</t>
        </is>
      </c>
    </row>
    <row r="563" ht="15" customHeight="1" s="11">
      <c r="A563" s="14" t="n">
        <v>562</v>
      </c>
      <c r="B563" s="14" t="inlineStr">
        <is>
          <t>COW019</t>
        </is>
      </c>
      <c r="C563" s="14" t="inlineStr">
        <is>
          <t>RFID100019</t>
        </is>
      </c>
      <c r="D563" s="14" t="inlineStr">
        <is>
          <t>2024-01-22</t>
        </is>
      </c>
      <c r="E563" s="14" t="inlineStr">
        <is>
          <t>08:00</t>
        </is>
      </c>
      <c r="F563" s="14" t="n">
        <v>7.67</v>
      </c>
      <c r="G563" s="14" t="n">
        <v>8.27</v>
      </c>
      <c r="H563" s="14" t="n">
        <v>7.14</v>
      </c>
      <c r="I563" s="15">
        <f>F563+G563+H563</f>
        <v/>
      </c>
      <c r="J563" s="15">
        <f>ROUND((I563-23)/23*100,2)</f>
        <v/>
      </c>
      <c r="K563" s="15" t="inlineStr">
        <is>
          <t>Normal</t>
        </is>
      </c>
    </row>
    <row r="564" ht="15" customHeight="1" s="11">
      <c r="A564" s="13" t="n">
        <v>563</v>
      </c>
      <c r="B564" s="13" t="inlineStr">
        <is>
          <t>COW019</t>
        </is>
      </c>
      <c r="C564" s="13" t="inlineStr">
        <is>
          <t>RFID100019</t>
        </is>
      </c>
      <c r="D564" s="13" t="inlineStr">
        <is>
          <t>2024-01-23</t>
        </is>
      </c>
      <c r="E564" s="13" t="inlineStr">
        <is>
          <t>08:00</t>
        </is>
      </c>
      <c r="F564" s="13" t="n">
        <v>8.5</v>
      </c>
      <c r="G564" s="13" t="n">
        <v>8.109999999999999</v>
      </c>
      <c r="H564" s="13" t="n">
        <v>7.13</v>
      </c>
      <c r="I564" s="15">
        <f>F564+G564+H564</f>
        <v/>
      </c>
      <c r="J564" s="15">
        <f>ROUND((I564-23)/23*100,2)</f>
        <v/>
      </c>
      <c r="K564" s="15" t="inlineStr">
        <is>
          <t>Normal</t>
        </is>
      </c>
    </row>
    <row r="565" ht="15" customHeight="1" s="11">
      <c r="A565" s="14" t="n">
        <v>564</v>
      </c>
      <c r="B565" s="14" t="inlineStr">
        <is>
          <t>COW019</t>
        </is>
      </c>
      <c r="C565" s="14" t="inlineStr">
        <is>
          <t>RFID100019</t>
        </is>
      </c>
      <c r="D565" s="14" t="inlineStr">
        <is>
          <t>2024-01-24</t>
        </is>
      </c>
      <c r="E565" s="14" t="inlineStr">
        <is>
          <t>08:00</t>
        </is>
      </c>
      <c r="F565" s="14" t="n">
        <v>8.16</v>
      </c>
      <c r="G565" s="14" t="n">
        <v>7.66</v>
      </c>
      <c r="H565" s="14" t="n">
        <v>7.43</v>
      </c>
      <c r="I565" s="15">
        <f>F565+G565+H565</f>
        <v/>
      </c>
      <c r="J565" s="15">
        <f>ROUND((I565-23)/23*100,2)</f>
        <v/>
      </c>
      <c r="K565" s="15" t="inlineStr">
        <is>
          <t>Normal</t>
        </is>
      </c>
    </row>
    <row r="566" ht="15" customHeight="1" s="11">
      <c r="A566" s="13" t="n">
        <v>565</v>
      </c>
      <c r="B566" s="13" t="inlineStr">
        <is>
          <t>COW019</t>
        </is>
      </c>
      <c r="C566" s="13" t="inlineStr">
        <is>
          <t>RFID100019</t>
        </is>
      </c>
      <c r="D566" s="13" t="inlineStr">
        <is>
          <t>2024-01-25</t>
        </is>
      </c>
      <c r="E566" s="13" t="inlineStr">
        <is>
          <t>08:00</t>
        </is>
      </c>
      <c r="F566" s="13" t="n">
        <v>8.1</v>
      </c>
      <c r="G566" s="13" t="n">
        <v>7.08</v>
      </c>
      <c r="H566" s="13" t="n">
        <v>6.77</v>
      </c>
      <c r="I566" s="15">
        <f>F566+G566+H566</f>
        <v/>
      </c>
      <c r="J566" s="15">
        <f>ROUND((I566-23)/23*100,2)</f>
        <v/>
      </c>
      <c r="K566" s="15" t="inlineStr">
        <is>
          <t>Normal</t>
        </is>
      </c>
    </row>
    <row r="567" ht="15" customHeight="1" s="11">
      <c r="A567" s="14" t="n">
        <v>566</v>
      </c>
      <c r="B567" s="14" t="inlineStr">
        <is>
          <t>COW019</t>
        </is>
      </c>
      <c r="C567" s="14" t="inlineStr">
        <is>
          <t>RFID100019</t>
        </is>
      </c>
      <c r="D567" s="14" t="inlineStr">
        <is>
          <t>2024-01-26</t>
        </is>
      </c>
      <c r="E567" s="14" t="inlineStr">
        <is>
          <t>08:00</t>
        </is>
      </c>
      <c r="F567" s="14" t="n">
        <v>7.89</v>
      </c>
      <c r="G567" s="14" t="n">
        <v>7.41</v>
      </c>
      <c r="H567" s="14" t="n">
        <v>7.78</v>
      </c>
      <c r="I567" s="15">
        <f>F567+G567+H567</f>
        <v/>
      </c>
      <c r="J567" s="15">
        <f>ROUND((I567-23)/23*100,2)</f>
        <v/>
      </c>
      <c r="K567" s="15" t="inlineStr">
        <is>
          <t>Normal</t>
        </is>
      </c>
    </row>
    <row r="568" ht="15" customHeight="1" s="11">
      <c r="A568" s="13" t="n">
        <v>567</v>
      </c>
      <c r="B568" s="13" t="inlineStr">
        <is>
          <t>COW019</t>
        </is>
      </c>
      <c r="C568" s="13" t="inlineStr">
        <is>
          <t>RFID100019</t>
        </is>
      </c>
      <c r="D568" s="13" t="inlineStr">
        <is>
          <t>2024-01-27</t>
        </is>
      </c>
      <c r="E568" s="13" t="inlineStr">
        <is>
          <t>08:00</t>
        </is>
      </c>
      <c r="F568" s="13" t="n">
        <v>7.31</v>
      </c>
      <c r="G568" s="13" t="n">
        <v>6.45</v>
      </c>
      <c r="H568" s="13" t="n">
        <v>6.48</v>
      </c>
      <c r="I568" s="15">
        <f>F568+G568+H568</f>
        <v/>
      </c>
      <c r="J568" s="15">
        <f>ROUND((I568-23)/23*100,2)</f>
        <v/>
      </c>
      <c r="K568" s="15" t="inlineStr">
        <is>
          <t>Low intake</t>
        </is>
      </c>
    </row>
    <row r="569" ht="15" customHeight="1" s="11">
      <c r="A569" s="14" t="n">
        <v>568</v>
      </c>
      <c r="B569" s="14" t="inlineStr">
        <is>
          <t>COW019</t>
        </is>
      </c>
      <c r="C569" s="14" t="inlineStr">
        <is>
          <t>RFID100019</t>
        </is>
      </c>
      <c r="D569" s="14" t="inlineStr">
        <is>
          <t>2024-01-28</t>
        </is>
      </c>
      <c r="E569" s="14" t="inlineStr">
        <is>
          <t>08:00</t>
        </is>
      </c>
      <c r="F569" s="14" t="n">
        <v>7.45</v>
      </c>
      <c r="G569" s="14" t="n">
        <v>7.68</v>
      </c>
      <c r="H569" s="14" t="n">
        <v>7.44</v>
      </c>
      <c r="I569" s="15">
        <f>F569+G569+H569</f>
        <v/>
      </c>
      <c r="J569" s="15">
        <f>ROUND((I569-23)/23*100,2)</f>
        <v/>
      </c>
      <c r="K569" s="15" t="inlineStr">
        <is>
          <t>Normal</t>
        </is>
      </c>
    </row>
    <row r="570" ht="15" customHeight="1" s="11">
      <c r="A570" s="13" t="n">
        <v>569</v>
      </c>
      <c r="B570" s="13" t="inlineStr">
        <is>
          <t>COW019</t>
        </is>
      </c>
      <c r="C570" s="13" t="inlineStr">
        <is>
          <t>RFID100019</t>
        </is>
      </c>
      <c r="D570" s="13" t="inlineStr">
        <is>
          <t>2024-01-29</t>
        </is>
      </c>
      <c r="E570" s="13" t="inlineStr">
        <is>
          <t>08:00</t>
        </is>
      </c>
      <c r="F570" s="13" t="n">
        <v>7.88</v>
      </c>
      <c r="G570" s="13" t="n">
        <v>7.95</v>
      </c>
      <c r="H570" s="13" t="n">
        <v>6.9</v>
      </c>
      <c r="I570" s="15">
        <f>F570+G570+H570</f>
        <v/>
      </c>
      <c r="J570" s="15">
        <f>ROUND((I570-23)/23*100,2)</f>
        <v/>
      </c>
      <c r="K570" s="15" t="inlineStr">
        <is>
          <t>Normal</t>
        </is>
      </c>
    </row>
    <row r="571" ht="15" customHeight="1" s="11">
      <c r="A571" s="14" t="n">
        <v>570</v>
      </c>
      <c r="B571" s="14" t="inlineStr">
        <is>
          <t>COW019</t>
        </is>
      </c>
      <c r="C571" s="14" t="inlineStr">
        <is>
          <t>RFID100019</t>
        </is>
      </c>
      <c r="D571" s="14" t="inlineStr">
        <is>
          <t>2024-01-30</t>
        </is>
      </c>
      <c r="E571" s="14" t="inlineStr">
        <is>
          <t>08:00</t>
        </is>
      </c>
      <c r="F571" s="14" t="n">
        <v>7.54</v>
      </c>
      <c r="G571" s="14" t="n">
        <v>6.95</v>
      </c>
      <c r="H571" s="14" t="n">
        <v>8.16</v>
      </c>
      <c r="I571" s="15">
        <f>F571+G571+H571</f>
        <v/>
      </c>
      <c r="J571" s="15">
        <f>ROUND((I571-23)/23*100,2)</f>
        <v/>
      </c>
      <c r="K571" s="15" t="inlineStr">
        <is>
          <t>Normal</t>
        </is>
      </c>
    </row>
    <row r="572" ht="15" customHeight="1" s="11">
      <c r="A572" s="13" t="n">
        <v>571</v>
      </c>
      <c r="B572" s="13" t="inlineStr">
        <is>
          <t>COW020</t>
        </is>
      </c>
      <c r="C572" s="13" t="inlineStr">
        <is>
          <t>RFID100020</t>
        </is>
      </c>
      <c r="D572" s="13" t="inlineStr">
        <is>
          <t>2024-01-01</t>
        </is>
      </c>
      <c r="E572" s="13" t="inlineStr">
        <is>
          <t>08:00</t>
        </is>
      </c>
      <c r="F572" s="13" t="n">
        <v>7.82</v>
      </c>
      <c r="G572" s="13" t="n">
        <v>8.720000000000001</v>
      </c>
      <c r="H572" s="13" t="n">
        <v>7.93</v>
      </c>
      <c r="I572" s="15">
        <f>F572+G572+H572</f>
        <v/>
      </c>
      <c r="J572" s="15">
        <f>ROUND((I572-25.3)/25.3*100,2)</f>
        <v/>
      </c>
      <c r="K572" s="15" t="inlineStr">
        <is>
          <t>Normal</t>
        </is>
      </c>
    </row>
    <row r="573" ht="15" customHeight="1" s="11">
      <c r="A573" s="14" t="n">
        <v>572</v>
      </c>
      <c r="B573" s="14" t="inlineStr">
        <is>
          <t>COW020</t>
        </is>
      </c>
      <c r="C573" s="14" t="inlineStr">
        <is>
          <t>RFID100020</t>
        </is>
      </c>
      <c r="D573" s="14" t="inlineStr">
        <is>
          <t>2024-01-02</t>
        </is>
      </c>
      <c r="E573" s="14" t="inlineStr">
        <is>
          <t>08:00</t>
        </is>
      </c>
      <c r="F573" s="14" t="n">
        <v>9.140000000000001</v>
      </c>
      <c r="G573" s="14" t="n">
        <v>8.869999999999999</v>
      </c>
      <c r="H573" s="14" t="n">
        <v>7.12</v>
      </c>
      <c r="I573" s="15">
        <f>F573+G573+H573</f>
        <v/>
      </c>
      <c r="J573" s="15">
        <f>ROUND((I573-25.3)/25.3*100,2)</f>
        <v/>
      </c>
      <c r="K573" s="15" t="inlineStr">
        <is>
          <t>Normal</t>
        </is>
      </c>
    </row>
    <row r="574" ht="15" customHeight="1" s="11">
      <c r="A574" s="13" t="n">
        <v>573</v>
      </c>
      <c r="B574" s="13" t="inlineStr">
        <is>
          <t>COW020</t>
        </is>
      </c>
      <c r="C574" s="13" t="inlineStr">
        <is>
          <t>RFID100020</t>
        </is>
      </c>
      <c r="D574" s="13" t="inlineStr">
        <is>
          <t>2024-01-03</t>
        </is>
      </c>
      <c r="E574" s="13" t="inlineStr">
        <is>
          <t>08:00</t>
        </is>
      </c>
      <c r="F574" s="13" t="n">
        <v>8.01</v>
      </c>
      <c r="G574" s="13" t="n">
        <v>7.29</v>
      </c>
      <c r="H574" s="13" t="n">
        <v>7.15</v>
      </c>
      <c r="I574" s="15">
        <f>F574+G574+H574</f>
        <v/>
      </c>
      <c r="J574" s="15">
        <f>ROUND((I574-25.3)/25.3*100,2)</f>
        <v/>
      </c>
      <c r="K574" s="15" t="inlineStr">
        <is>
          <t>Low intake</t>
        </is>
      </c>
    </row>
    <row r="575" ht="15" customHeight="1" s="11">
      <c r="A575" s="14" t="n">
        <v>574</v>
      </c>
      <c r="B575" s="14" t="inlineStr">
        <is>
          <t>COW020</t>
        </is>
      </c>
      <c r="C575" s="14" t="inlineStr">
        <is>
          <t>RFID100020</t>
        </is>
      </c>
      <c r="D575" s="14" t="inlineStr">
        <is>
          <t>2024-01-04</t>
        </is>
      </c>
      <c r="E575" s="14" t="inlineStr">
        <is>
          <t>08:00</t>
        </is>
      </c>
      <c r="F575" s="14" t="n">
        <v>8.800000000000001</v>
      </c>
      <c r="G575" s="14" t="n">
        <v>8.51</v>
      </c>
      <c r="H575" s="14" t="n">
        <v>7.18</v>
      </c>
      <c r="I575" s="15">
        <f>F575+G575+H575</f>
        <v/>
      </c>
      <c r="J575" s="15">
        <f>ROUND((I575-25.3)/25.3*100,2)</f>
        <v/>
      </c>
      <c r="K575" s="15" t="inlineStr">
        <is>
          <t>Normal</t>
        </is>
      </c>
    </row>
    <row r="576" ht="15" customHeight="1" s="11">
      <c r="A576" s="13" t="n">
        <v>575</v>
      </c>
      <c r="B576" s="13" t="inlineStr">
        <is>
          <t>COW020</t>
        </is>
      </c>
      <c r="C576" s="13" t="inlineStr">
        <is>
          <t>RFID100020</t>
        </is>
      </c>
      <c r="D576" s="13" t="inlineStr">
        <is>
          <t>2024-01-05</t>
        </is>
      </c>
      <c r="E576" s="13" t="inlineStr">
        <is>
          <t>08:00</t>
        </is>
      </c>
      <c r="F576" s="13" t="n">
        <v>9.09</v>
      </c>
      <c r="G576" s="13" t="n">
        <v>7.9</v>
      </c>
      <c r="H576" s="13" t="n">
        <v>7.56</v>
      </c>
      <c r="I576" s="15">
        <f>F576+G576+H576</f>
        <v/>
      </c>
      <c r="J576" s="15">
        <f>ROUND((I576-25.3)/25.3*100,2)</f>
        <v/>
      </c>
      <c r="K576" s="15" t="inlineStr">
        <is>
          <t>Normal</t>
        </is>
      </c>
    </row>
    <row r="577" ht="15" customHeight="1" s="11">
      <c r="A577" s="14" t="n">
        <v>576</v>
      </c>
      <c r="B577" s="14" t="inlineStr">
        <is>
          <t>COW020</t>
        </is>
      </c>
      <c r="C577" s="14" t="inlineStr">
        <is>
          <t>RFID100020</t>
        </is>
      </c>
      <c r="D577" s="14" t="inlineStr">
        <is>
          <t>2024-01-06</t>
        </is>
      </c>
      <c r="E577" s="14" t="inlineStr">
        <is>
          <t>08:00</t>
        </is>
      </c>
      <c r="F577" s="14" t="n">
        <v>8.029999999999999</v>
      </c>
      <c r="G577" s="14" t="n">
        <v>8.83</v>
      </c>
      <c r="H577" s="14" t="n">
        <v>7.2</v>
      </c>
      <c r="I577" s="15">
        <f>F577+G577+H577</f>
        <v/>
      </c>
      <c r="J577" s="15">
        <f>ROUND((I577-25.3)/25.3*100,2)</f>
        <v/>
      </c>
      <c r="K577" s="15" t="inlineStr">
        <is>
          <t>Normal</t>
        </is>
      </c>
    </row>
    <row r="578" ht="15" customHeight="1" s="11">
      <c r="A578" s="13" t="n">
        <v>577</v>
      </c>
      <c r="B578" s="13" t="inlineStr">
        <is>
          <t>COW020</t>
        </is>
      </c>
      <c r="C578" s="13" t="inlineStr">
        <is>
          <t>RFID100020</t>
        </is>
      </c>
      <c r="D578" s="13" t="inlineStr">
        <is>
          <t>2024-01-07</t>
        </is>
      </c>
      <c r="E578" s="13" t="inlineStr">
        <is>
          <t>08:00</t>
        </is>
      </c>
      <c r="F578" s="13" t="n">
        <v>8.609999999999999</v>
      </c>
      <c r="G578" s="13" t="n">
        <v>7.67</v>
      </c>
      <c r="H578" s="13" t="n">
        <v>8.74</v>
      </c>
      <c r="I578" s="15">
        <f>F578+G578+H578</f>
        <v/>
      </c>
      <c r="J578" s="15">
        <f>ROUND((I578-25.3)/25.3*100,2)</f>
        <v/>
      </c>
      <c r="K578" s="15" t="inlineStr">
        <is>
          <t>Normal</t>
        </is>
      </c>
    </row>
    <row r="579" ht="15" customHeight="1" s="11">
      <c r="A579" s="14" t="n">
        <v>578</v>
      </c>
      <c r="B579" s="14" t="inlineStr">
        <is>
          <t>COW020</t>
        </is>
      </c>
      <c r="C579" s="14" t="inlineStr">
        <is>
          <t>RFID100020</t>
        </is>
      </c>
      <c r="D579" s="14" t="inlineStr">
        <is>
          <t>2024-01-08</t>
        </is>
      </c>
      <c r="E579" s="14" t="inlineStr">
        <is>
          <t>08:00</t>
        </is>
      </c>
      <c r="F579" s="14" t="n">
        <v>9.07</v>
      </c>
      <c r="G579" s="14" t="n">
        <v>7.73</v>
      </c>
      <c r="H579" s="14" t="n">
        <v>8.289999999999999</v>
      </c>
      <c r="I579" s="15">
        <f>F579+G579+H579</f>
        <v/>
      </c>
      <c r="J579" s="15">
        <f>ROUND((I579-25.3)/25.3*100,2)</f>
        <v/>
      </c>
      <c r="K579" s="15" t="inlineStr">
        <is>
          <t>Normal</t>
        </is>
      </c>
    </row>
    <row r="580" ht="15" customHeight="1" s="11">
      <c r="A580" s="13" t="n">
        <v>579</v>
      </c>
      <c r="B580" s="13" t="inlineStr">
        <is>
          <t>COW020</t>
        </is>
      </c>
      <c r="C580" s="13" t="inlineStr">
        <is>
          <t>RFID100020</t>
        </is>
      </c>
      <c r="D580" s="13" t="inlineStr">
        <is>
          <t>2024-01-09</t>
        </is>
      </c>
      <c r="E580" s="13" t="inlineStr">
        <is>
          <t>08:00</t>
        </is>
      </c>
      <c r="F580" s="13" t="n">
        <v>8.949999999999999</v>
      </c>
      <c r="G580" s="13" t="n">
        <v>7.73</v>
      </c>
      <c r="H580" s="13" t="n">
        <v>7.69</v>
      </c>
      <c r="I580" s="15">
        <f>F580+G580+H580</f>
        <v/>
      </c>
      <c r="J580" s="15">
        <f>ROUND((I580-25.3)/25.3*100,2)</f>
        <v/>
      </c>
      <c r="K580" s="15" t="inlineStr">
        <is>
          <t>Normal</t>
        </is>
      </c>
    </row>
    <row r="581" ht="15" customHeight="1" s="11">
      <c r="A581" s="14" t="n">
        <v>580</v>
      </c>
      <c r="B581" s="14" t="inlineStr">
        <is>
          <t>COW020</t>
        </is>
      </c>
      <c r="C581" s="14" t="inlineStr">
        <is>
          <t>RFID100020</t>
        </is>
      </c>
      <c r="D581" s="14" t="inlineStr">
        <is>
          <t>2024-01-10</t>
        </is>
      </c>
      <c r="E581" s="14" t="inlineStr">
        <is>
          <t>08:00</t>
        </is>
      </c>
      <c r="F581" s="14" t="n">
        <v>7.88</v>
      </c>
      <c r="G581" s="14" t="n">
        <v>8.42</v>
      </c>
      <c r="H581" s="14" t="n">
        <v>7.53</v>
      </c>
      <c r="I581" s="15">
        <f>F581+G581+H581</f>
        <v/>
      </c>
      <c r="J581" s="15">
        <f>ROUND((I581-25.3)/25.3*100,2)</f>
        <v/>
      </c>
      <c r="K581" s="15" t="inlineStr">
        <is>
          <t>Normal</t>
        </is>
      </c>
    </row>
    <row r="582" ht="15" customHeight="1" s="11">
      <c r="A582" s="13" t="n">
        <v>581</v>
      </c>
      <c r="B582" s="13" t="inlineStr">
        <is>
          <t>COW020</t>
        </is>
      </c>
      <c r="C582" s="13" t="inlineStr">
        <is>
          <t>RFID100020</t>
        </is>
      </c>
      <c r="D582" s="13" t="inlineStr">
        <is>
          <t>2024-01-11</t>
        </is>
      </c>
      <c r="E582" s="13" t="inlineStr">
        <is>
          <t>08:00</t>
        </is>
      </c>
      <c r="F582" s="13" t="n">
        <v>8.199999999999999</v>
      </c>
      <c r="G582" s="13" t="n">
        <v>7.21</v>
      </c>
      <c r="H582" s="13" t="n">
        <v>9</v>
      </c>
      <c r="I582" s="15">
        <f>F582+G582+H582</f>
        <v/>
      </c>
      <c r="J582" s="15">
        <f>ROUND((I582-25.3)/25.3*100,2)</f>
        <v/>
      </c>
      <c r="K582" s="15" t="inlineStr">
        <is>
          <t>Normal</t>
        </is>
      </c>
    </row>
    <row r="583" ht="15" customHeight="1" s="11">
      <c r="A583" s="14" t="n">
        <v>582</v>
      </c>
      <c r="B583" s="14" t="inlineStr">
        <is>
          <t>COW020</t>
        </is>
      </c>
      <c r="C583" s="14" t="inlineStr">
        <is>
          <t>RFID100020</t>
        </is>
      </c>
      <c r="D583" s="14" t="inlineStr">
        <is>
          <t>2024-01-12</t>
        </is>
      </c>
      <c r="E583" s="14" t="inlineStr">
        <is>
          <t>08:00</t>
        </is>
      </c>
      <c r="F583" s="14" t="n">
        <v>9.369999999999999</v>
      </c>
      <c r="G583" s="14" t="n">
        <v>8.93</v>
      </c>
      <c r="H583" s="14" t="n">
        <v>8.35</v>
      </c>
      <c r="I583" s="15">
        <f>F583+G583+H583</f>
        <v/>
      </c>
      <c r="J583" s="15">
        <f>ROUND((I583-25.3)/25.3*100,2)</f>
        <v/>
      </c>
      <c r="K583" s="15" t="inlineStr">
        <is>
          <t>Normal</t>
        </is>
      </c>
    </row>
    <row r="584" ht="15" customHeight="1" s="11">
      <c r="A584" s="13" t="n">
        <v>583</v>
      </c>
      <c r="B584" s="13" t="inlineStr">
        <is>
          <t>COW020</t>
        </is>
      </c>
      <c r="C584" s="13" t="inlineStr">
        <is>
          <t>RFID100020</t>
        </is>
      </c>
      <c r="D584" s="13" t="inlineStr">
        <is>
          <t>2024-01-13</t>
        </is>
      </c>
      <c r="E584" s="13" t="inlineStr">
        <is>
          <t>08:00</t>
        </is>
      </c>
      <c r="F584" s="13" t="n">
        <v>8.449999999999999</v>
      </c>
      <c r="G584" s="13" t="n">
        <v>8.09</v>
      </c>
      <c r="H584" s="13" t="n">
        <v>9.050000000000001</v>
      </c>
      <c r="I584" s="15">
        <f>F584+G584+H584</f>
        <v/>
      </c>
      <c r="J584" s="15">
        <f>ROUND((I584-25.3)/25.3*100,2)</f>
        <v/>
      </c>
      <c r="K584" s="15" t="inlineStr">
        <is>
          <t>Normal</t>
        </is>
      </c>
    </row>
    <row r="585" ht="15" customHeight="1" s="11">
      <c r="A585" s="14" t="n">
        <v>584</v>
      </c>
      <c r="B585" s="14" t="inlineStr">
        <is>
          <t>COW020</t>
        </is>
      </c>
      <c r="C585" s="14" t="inlineStr">
        <is>
          <t>RFID100020</t>
        </is>
      </c>
      <c r="D585" s="14" t="inlineStr">
        <is>
          <t>2024-01-14</t>
        </is>
      </c>
      <c r="E585" s="14" t="inlineStr">
        <is>
          <t>08:00</t>
        </is>
      </c>
      <c r="F585" s="14" t="n">
        <v>9.5</v>
      </c>
      <c r="G585" s="14" t="n">
        <v>8.44</v>
      </c>
      <c r="H585" s="14" t="n">
        <v>8.67</v>
      </c>
      <c r="I585" s="15">
        <f>F585+G585+H585</f>
        <v/>
      </c>
      <c r="J585" s="15">
        <f>ROUND((I585-25.3)/25.3*100,2)</f>
        <v/>
      </c>
      <c r="K585" s="15" t="inlineStr">
        <is>
          <t>Normal</t>
        </is>
      </c>
    </row>
    <row r="586" ht="15" customHeight="1" s="11">
      <c r="A586" s="13" t="n">
        <v>585</v>
      </c>
      <c r="B586" s="13" t="inlineStr">
        <is>
          <t>COW020</t>
        </is>
      </c>
      <c r="C586" s="13" t="inlineStr">
        <is>
          <t>RFID100020</t>
        </is>
      </c>
      <c r="D586" s="13" t="inlineStr">
        <is>
          <t>2024-01-15</t>
        </is>
      </c>
      <c r="E586" s="13" t="inlineStr">
        <is>
          <t>08:00</t>
        </is>
      </c>
      <c r="F586" s="13" t="n">
        <v>8.24</v>
      </c>
      <c r="G586" s="13" t="n">
        <v>7.93</v>
      </c>
      <c r="H586" s="13" t="n">
        <v>7.39</v>
      </c>
      <c r="I586" s="15">
        <f>F586+G586+H586</f>
        <v/>
      </c>
      <c r="J586" s="15">
        <f>ROUND((I586-25.3)/25.3*100,2)</f>
        <v/>
      </c>
      <c r="K586" s="15" t="inlineStr">
        <is>
          <t>Normal</t>
        </is>
      </c>
    </row>
    <row r="587" ht="15" customHeight="1" s="11">
      <c r="A587" s="14" t="n">
        <v>586</v>
      </c>
      <c r="B587" s="14" t="inlineStr">
        <is>
          <t>COW020</t>
        </is>
      </c>
      <c r="C587" s="14" t="inlineStr">
        <is>
          <t>RFID100020</t>
        </is>
      </c>
      <c r="D587" s="14" t="inlineStr">
        <is>
          <t>2024-01-16</t>
        </is>
      </c>
      <c r="E587" s="14" t="inlineStr">
        <is>
          <t>08:00</t>
        </is>
      </c>
      <c r="F587" s="14" t="n">
        <v>8.35</v>
      </c>
      <c r="G587" s="14" t="n">
        <v>8.609999999999999</v>
      </c>
      <c r="H587" s="14" t="n">
        <v>8.039999999999999</v>
      </c>
      <c r="I587" s="15">
        <f>F587+G587+H587</f>
        <v/>
      </c>
      <c r="J587" s="15">
        <f>ROUND((I587-25.3)/25.3*100,2)</f>
        <v/>
      </c>
      <c r="K587" s="15" t="inlineStr">
        <is>
          <t>Normal</t>
        </is>
      </c>
    </row>
    <row r="588" ht="15" customHeight="1" s="11">
      <c r="A588" s="13" t="n">
        <v>587</v>
      </c>
      <c r="B588" s="13" t="inlineStr">
        <is>
          <t>COW020</t>
        </is>
      </c>
      <c r="C588" s="13" t="inlineStr">
        <is>
          <t>RFID100020</t>
        </is>
      </c>
      <c r="D588" s="13" t="inlineStr">
        <is>
          <t>2024-01-17</t>
        </is>
      </c>
      <c r="E588" s="13" t="inlineStr">
        <is>
          <t>08:00</t>
        </is>
      </c>
      <c r="F588" s="13" t="n">
        <v>9.31</v>
      </c>
      <c r="G588" s="13" t="n">
        <v>7.69</v>
      </c>
      <c r="H588" s="13" t="n">
        <v>8.52</v>
      </c>
      <c r="I588" s="15">
        <f>F588+G588+H588</f>
        <v/>
      </c>
      <c r="J588" s="15">
        <f>ROUND((I588-25.3)/25.3*100,2)</f>
        <v/>
      </c>
      <c r="K588" s="15" t="inlineStr">
        <is>
          <t>Normal</t>
        </is>
      </c>
    </row>
    <row r="589" ht="15" customHeight="1" s="11">
      <c r="A589" s="14" t="n">
        <v>588</v>
      </c>
      <c r="B589" s="14" t="inlineStr">
        <is>
          <t>COW020</t>
        </is>
      </c>
      <c r="C589" s="14" t="inlineStr">
        <is>
          <t>RFID100020</t>
        </is>
      </c>
      <c r="D589" s="14" t="inlineStr">
        <is>
          <t>2024-01-18</t>
        </is>
      </c>
      <c r="E589" s="14" t="inlineStr">
        <is>
          <t>08:00</t>
        </is>
      </c>
      <c r="F589" s="14" t="n">
        <v>9.220000000000001</v>
      </c>
      <c r="G589" s="14" t="n">
        <v>8.94</v>
      </c>
      <c r="H589" s="14" t="n">
        <v>8.220000000000001</v>
      </c>
      <c r="I589" s="15">
        <f>F589+G589+H589</f>
        <v/>
      </c>
      <c r="J589" s="15">
        <f>ROUND((I589-25.3)/25.3*100,2)</f>
        <v/>
      </c>
      <c r="K589" s="15" t="inlineStr">
        <is>
          <t>Normal</t>
        </is>
      </c>
    </row>
    <row r="590" ht="15" customHeight="1" s="11">
      <c r="A590" s="13" t="n">
        <v>589</v>
      </c>
      <c r="B590" s="13" t="inlineStr">
        <is>
          <t>COW020</t>
        </is>
      </c>
      <c r="C590" s="13" t="inlineStr">
        <is>
          <t>RFID100020</t>
        </is>
      </c>
      <c r="D590" s="13" t="inlineStr">
        <is>
          <t>2024-01-19</t>
        </is>
      </c>
      <c r="E590" s="13" t="inlineStr">
        <is>
          <t>08:00</t>
        </is>
      </c>
      <c r="F590" s="13" t="n">
        <v>9.550000000000001</v>
      </c>
      <c r="G590" s="13" t="n">
        <v>8.210000000000001</v>
      </c>
      <c r="H590" s="13" t="n">
        <v>7.36</v>
      </c>
      <c r="I590" s="15">
        <f>F590+G590+H590</f>
        <v/>
      </c>
      <c r="J590" s="15">
        <f>ROUND((I590-25.3)/25.3*100,2)</f>
        <v/>
      </c>
      <c r="K590" s="15" t="inlineStr">
        <is>
          <t>Normal</t>
        </is>
      </c>
    </row>
    <row r="591" ht="15" customHeight="1" s="11">
      <c r="A591" s="14" t="n">
        <v>590</v>
      </c>
      <c r="B591" s="14" t="inlineStr">
        <is>
          <t>COW020</t>
        </is>
      </c>
      <c r="C591" s="14" t="inlineStr">
        <is>
          <t>RFID100020</t>
        </is>
      </c>
      <c r="D591" s="14" t="inlineStr">
        <is>
          <t>2024-01-20</t>
        </is>
      </c>
      <c r="E591" s="14" t="inlineStr">
        <is>
          <t>08:00</t>
        </is>
      </c>
      <c r="F591" s="14" t="n">
        <v>8.08</v>
      </c>
      <c r="G591" s="14" t="n">
        <v>7.5</v>
      </c>
      <c r="H591" s="14" t="n">
        <v>8.390000000000001</v>
      </c>
      <c r="I591" s="15">
        <f>F591+G591+H591</f>
        <v/>
      </c>
      <c r="J591" s="15">
        <f>ROUND((I591-25.3)/25.3*100,2)</f>
        <v/>
      </c>
      <c r="K591" s="15" t="inlineStr">
        <is>
          <t>Normal</t>
        </is>
      </c>
    </row>
    <row r="592" ht="15" customHeight="1" s="11">
      <c r="A592" s="13" t="n">
        <v>591</v>
      </c>
      <c r="B592" s="13" t="inlineStr">
        <is>
          <t>COW020</t>
        </is>
      </c>
      <c r="C592" s="13" t="inlineStr">
        <is>
          <t>RFID100020</t>
        </is>
      </c>
      <c r="D592" s="13" t="inlineStr">
        <is>
          <t>2024-01-21</t>
        </is>
      </c>
      <c r="E592" s="13" t="inlineStr">
        <is>
          <t>08:00</t>
        </is>
      </c>
      <c r="F592" s="13" t="n">
        <v>9.460000000000001</v>
      </c>
      <c r="G592" s="13" t="n">
        <v>8.800000000000001</v>
      </c>
      <c r="H592" s="13" t="n">
        <v>7.27</v>
      </c>
      <c r="I592" s="15">
        <f>F592+G592+H592</f>
        <v/>
      </c>
      <c r="J592" s="15">
        <f>ROUND((I592-25.3)/25.3*100,2)</f>
        <v/>
      </c>
      <c r="K592" s="15" t="inlineStr">
        <is>
          <t>Normal</t>
        </is>
      </c>
    </row>
    <row r="593" ht="15" customHeight="1" s="11">
      <c r="A593" s="14" t="n">
        <v>592</v>
      </c>
      <c r="B593" s="14" t="inlineStr">
        <is>
          <t>COW020</t>
        </is>
      </c>
      <c r="C593" s="14" t="inlineStr">
        <is>
          <t>RFID100020</t>
        </is>
      </c>
      <c r="D593" s="14" t="inlineStr">
        <is>
          <t>2024-01-22</t>
        </is>
      </c>
      <c r="E593" s="14" t="inlineStr">
        <is>
          <t>08:00</t>
        </is>
      </c>
      <c r="F593" s="14" t="n">
        <v>9.06</v>
      </c>
      <c r="G593" s="14" t="n">
        <v>7.47</v>
      </c>
      <c r="H593" s="14" t="n">
        <v>7.63</v>
      </c>
      <c r="I593" s="15">
        <f>F593+G593+H593</f>
        <v/>
      </c>
      <c r="J593" s="15">
        <f>ROUND((I593-25.3)/25.3*100,2)</f>
        <v/>
      </c>
      <c r="K593" s="15" t="inlineStr">
        <is>
          <t>Normal</t>
        </is>
      </c>
    </row>
    <row r="594" ht="15" customHeight="1" s="11">
      <c r="A594" s="13" t="n">
        <v>593</v>
      </c>
      <c r="B594" s="13" t="inlineStr">
        <is>
          <t>COW020</t>
        </is>
      </c>
      <c r="C594" s="13" t="inlineStr">
        <is>
          <t>RFID100020</t>
        </is>
      </c>
      <c r="D594" s="13" t="inlineStr">
        <is>
          <t>2024-01-23</t>
        </is>
      </c>
      <c r="E594" s="13" t="inlineStr">
        <is>
          <t>08:00</t>
        </is>
      </c>
      <c r="F594" s="13" t="n">
        <v>8.949999999999999</v>
      </c>
      <c r="G594" s="13" t="n">
        <v>8.300000000000001</v>
      </c>
      <c r="H594" s="13" t="n">
        <v>8.85</v>
      </c>
      <c r="I594" s="15">
        <f>F594+G594+H594</f>
        <v/>
      </c>
      <c r="J594" s="15">
        <f>ROUND((I594-25.3)/25.3*100,2)</f>
        <v/>
      </c>
      <c r="K594" s="15" t="inlineStr">
        <is>
          <t>Normal</t>
        </is>
      </c>
    </row>
    <row r="595" ht="15" customHeight="1" s="11">
      <c r="A595" s="14" t="n">
        <v>594</v>
      </c>
      <c r="B595" s="14" t="inlineStr">
        <is>
          <t>COW020</t>
        </is>
      </c>
      <c r="C595" s="14" t="inlineStr">
        <is>
          <t>RFID100020</t>
        </is>
      </c>
      <c r="D595" s="14" t="inlineStr">
        <is>
          <t>2024-01-24</t>
        </is>
      </c>
      <c r="E595" s="14" t="inlineStr">
        <is>
          <t>08:00</t>
        </is>
      </c>
      <c r="F595" s="14" t="n">
        <v>7.97</v>
      </c>
      <c r="G595" s="14" t="n">
        <v>8.630000000000001</v>
      </c>
      <c r="H595" s="14" t="n">
        <v>8.550000000000001</v>
      </c>
      <c r="I595" s="15">
        <f>F595+G595+H595</f>
        <v/>
      </c>
      <c r="J595" s="15">
        <f>ROUND((I595-25.3)/25.3*100,2)</f>
        <v/>
      </c>
      <c r="K595" s="15" t="inlineStr">
        <is>
          <t>Normal</t>
        </is>
      </c>
    </row>
    <row r="596" ht="15" customHeight="1" s="11">
      <c r="A596" s="13" t="n">
        <v>595</v>
      </c>
      <c r="B596" s="13" t="inlineStr">
        <is>
          <t>COW020</t>
        </is>
      </c>
      <c r="C596" s="13" t="inlineStr">
        <is>
          <t>RFID100020</t>
        </is>
      </c>
      <c r="D596" s="13" t="inlineStr">
        <is>
          <t>2024-01-25</t>
        </is>
      </c>
      <c r="E596" s="13" t="inlineStr">
        <is>
          <t>08:00</t>
        </is>
      </c>
      <c r="F596" s="13" t="n">
        <v>8.720000000000001</v>
      </c>
      <c r="G596" s="13" t="n">
        <v>8.050000000000001</v>
      </c>
      <c r="H596" s="13" t="n">
        <v>8.84</v>
      </c>
      <c r="I596" s="15">
        <f>F596+G596+H596</f>
        <v/>
      </c>
      <c r="J596" s="15">
        <f>ROUND((I596-25.3)/25.3*100,2)</f>
        <v/>
      </c>
      <c r="K596" s="15" t="inlineStr">
        <is>
          <t>Normal</t>
        </is>
      </c>
    </row>
    <row r="597" ht="15" customHeight="1" s="11">
      <c r="A597" s="14" t="n">
        <v>596</v>
      </c>
      <c r="B597" s="14" t="inlineStr">
        <is>
          <t>COW020</t>
        </is>
      </c>
      <c r="C597" s="14" t="inlineStr">
        <is>
          <t>RFID100020</t>
        </is>
      </c>
      <c r="D597" s="14" t="inlineStr">
        <is>
          <t>2024-01-26</t>
        </is>
      </c>
      <c r="E597" s="14" t="inlineStr">
        <is>
          <t>08:00</t>
        </is>
      </c>
      <c r="F597" s="14" t="n">
        <v>8.26</v>
      </c>
      <c r="G597" s="14" t="n">
        <v>9.02</v>
      </c>
      <c r="H597" s="14" t="n">
        <v>7.12</v>
      </c>
      <c r="I597" s="15">
        <f>F597+G597+H597</f>
        <v/>
      </c>
      <c r="J597" s="15">
        <f>ROUND((I597-25.3)/25.3*100,2)</f>
        <v/>
      </c>
      <c r="K597" s="15" t="inlineStr">
        <is>
          <t>Normal</t>
        </is>
      </c>
    </row>
    <row r="598" ht="15" customHeight="1" s="11">
      <c r="A598" s="13" t="n">
        <v>597</v>
      </c>
      <c r="B598" s="13" t="inlineStr">
        <is>
          <t>COW020</t>
        </is>
      </c>
      <c r="C598" s="13" t="inlineStr">
        <is>
          <t>RFID100020</t>
        </is>
      </c>
      <c r="D598" s="13" t="inlineStr">
        <is>
          <t>2024-01-27</t>
        </is>
      </c>
      <c r="E598" s="13" t="inlineStr">
        <is>
          <t>08:00</t>
        </is>
      </c>
      <c r="F598" s="13" t="n">
        <v>9.49</v>
      </c>
      <c r="G598" s="13" t="n">
        <v>9.029999999999999</v>
      </c>
      <c r="H598" s="13" t="n">
        <v>7.32</v>
      </c>
      <c r="I598" s="15">
        <f>F598+G598+H598</f>
        <v/>
      </c>
      <c r="J598" s="15">
        <f>ROUND((I598-25.3)/25.3*100,2)</f>
        <v/>
      </c>
      <c r="K598" s="15" t="inlineStr">
        <is>
          <t>Normal</t>
        </is>
      </c>
    </row>
    <row r="599" ht="15" customHeight="1" s="11">
      <c r="A599" s="14" t="n">
        <v>598</v>
      </c>
      <c r="B599" s="14" t="inlineStr">
        <is>
          <t>COW020</t>
        </is>
      </c>
      <c r="C599" s="14" t="inlineStr">
        <is>
          <t>RFID100020</t>
        </is>
      </c>
      <c r="D599" s="14" t="inlineStr">
        <is>
          <t>2024-01-28</t>
        </is>
      </c>
      <c r="E599" s="14" t="inlineStr">
        <is>
          <t>08:00</t>
        </is>
      </c>
      <c r="F599" s="14" t="n">
        <v>9.609999999999999</v>
      </c>
      <c r="G599" s="14" t="n">
        <v>8.050000000000001</v>
      </c>
      <c r="H599" s="14" t="n">
        <v>7.58</v>
      </c>
      <c r="I599" s="15">
        <f>F599+G599+H599</f>
        <v/>
      </c>
      <c r="J599" s="15">
        <f>ROUND((I599-25.3)/25.3*100,2)</f>
        <v/>
      </c>
      <c r="K599" s="15" t="inlineStr">
        <is>
          <t>Normal</t>
        </is>
      </c>
    </row>
    <row r="600" ht="15" customHeight="1" s="11">
      <c r="A600" s="13" t="n">
        <v>599</v>
      </c>
      <c r="B600" s="13" t="inlineStr">
        <is>
          <t>COW020</t>
        </is>
      </c>
      <c r="C600" s="13" t="inlineStr">
        <is>
          <t>RFID100020</t>
        </is>
      </c>
      <c r="D600" s="13" t="inlineStr">
        <is>
          <t>2024-01-29</t>
        </is>
      </c>
      <c r="E600" s="13" t="inlineStr">
        <is>
          <t>08:00</t>
        </is>
      </c>
      <c r="F600" s="13" t="n">
        <v>8.81</v>
      </c>
      <c r="G600" s="13" t="n">
        <v>7.5</v>
      </c>
      <c r="H600" s="13" t="n">
        <v>8.94</v>
      </c>
      <c r="I600" s="15">
        <f>F600+G600+H600</f>
        <v/>
      </c>
      <c r="J600" s="15">
        <f>ROUND((I600-25.3)/25.3*100,2)</f>
        <v/>
      </c>
      <c r="K600" s="15" t="inlineStr">
        <is>
          <t>Normal</t>
        </is>
      </c>
    </row>
    <row r="601" ht="15" customHeight="1" s="11">
      <c r="A601" s="14" t="n">
        <v>600</v>
      </c>
      <c r="B601" s="14" t="inlineStr">
        <is>
          <t>COW020</t>
        </is>
      </c>
      <c r="C601" s="14" t="inlineStr">
        <is>
          <t>RFID100020</t>
        </is>
      </c>
      <c r="D601" s="14" t="inlineStr">
        <is>
          <t>2024-01-30</t>
        </is>
      </c>
      <c r="E601" s="14" t="inlineStr">
        <is>
          <t>08:00</t>
        </is>
      </c>
      <c r="F601" s="14" t="n">
        <v>8.710000000000001</v>
      </c>
      <c r="G601" s="14" t="n">
        <v>8.65</v>
      </c>
      <c r="H601" s="14" t="n">
        <v>7.85</v>
      </c>
      <c r="I601" s="15">
        <f>F601+G601+H601</f>
        <v/>
      </c>
      <c r="J601" s="15">
        <f>ROUND((I601-25.3)/25.3*100,2)</f>
        <v/>
      </c>
      <c r="K601" s="15" t="inlineStr">
        <is>
          <t>Normal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L9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0" customWidth="1" style="10" min="1" max="2"/>
    <col width="14" customWidth="1" style="10" min="3" max="3"/>
    <col width="17" customWidth="1" style="10" min="4" max="5"/>
    <col width="16" customWidth="1" style="10" min="6" max="6"/>
    <col width="20" customWidth="1" style="10" min="7" max="7"/>
    <col width="15" customWidth="1" style="10" min="8" max="8"/>
    <col width="14" customWidth="1" style="10" min="9" max="9"/>
    <col width="17" customWidth="1" style="10" min="10" max="10"/>
    <col width="8" customWidth="1" style="10" min="11" max="11"/>
    <col width="15" customWidth="1" style="10" min="12" max="12"/>
  </cols>
  <sheetData>
    <row r="1" ht="39.75" customHeight="1" s="11">
      <c r="A1" s="12" t="inlineStr">
        <is>
          <t>Record_ID</t>
        </is>
      </c>
      <c r="B1" s="12" t="inlineStr">
        <is>
          <t>Cow_ID</t>
        </is>
      </c>
      <c r="C1" s="12" t="inlineStr">
        <is>
          <t>RFID_Tag</t>
        </is>
      </c>
      <c r="D1" s="12" t="inlineStr">
        <is>
          <t>Last_Estrus_Date</t>
        </is>
      </c>
      <c r="E1" s="12" t="inlineStr">
        <is>
          <t>Estrus_Confirmed</t>
        </is>
      </c>
      <c r="F1" s="12" t="inlineStr">
        <is>
          <t>Cycle_Length_days</t>
        </is>
      </c>
      <c r="G1" s="12" t="inlineStr">
        <is>
          <t>Next_Predicted_Estrus</t>
        </is>
      </c>
      <c r="H1" s="12" t="inlineStr">
        <is>
          <t>Days_Until_Next</t>
        </is>
      </c>
      <c r="I1" s="12" t="inlineStr">
        <is>
          <t>Breeding_Date</t>
        </is>
      </c>
      <c r="J1" s="12" t="inlineStr">
        <is>
          <t>Conception_Status</t>
        </is>
      </c>
      <c r="K1" s="12" t="inlineStr">
        <is>
          <t>Parity</t>
        </is>
      </c>
      <c r="L1" s="12" t="inlineStr">
        <is>
          <t>Notes</t>
        </is>
      </c>
    </row>
    <row r="2" ht="15" customHeight="1" s="11">
      <c r="A2" s="13" t="n">
        <v>1</v>
      </c>
      <c r="B2" s="13" t="inlineStr">
        <is>
          <t>COW001</t>
        </is>
      </c>
      <c r="C2" s="13" t="inlineStr">
        <is>
          <t>RFID100001</t>
        </is>
      </c>
      <c r="D2" s="13" t="inlineStr">
        <is>
          <t>2024-01-03</t>
        </is>
      </c>
      <c r="E2" s="13" t="inlineStr">
        <is>
          <t>Yes</t>
        </is>
      </c>
      <c r="F2" s="13" t="n">
        <v>23</v>
      </c>
      <c r="G2" s="13" t="inlineStr">
        <is>
          <t>2024-01-26</t>
        </is>
      </c>
      <c r="H2" s="13" t="n">
        <v>-127</v>
      </c>
      <c r="I2" s="13" t="inlineStr">
        <is>
          <t>2024-01-04</t>
        </is>
      </c>
      <c r="J2" s="13" t="inlineStr">
        <is>
          <t>Confirmed</t>
        </is>
      </c>
      <c r="K2" s="13" t="n">
        <v>3</v>
      </c>
      <c r="L2" s="13" t="inlineStr">
        <is>
          <t>Regular cycle</t>
        </is>
      </c>
    </row>
    <row r="3" ht="15" customHeight="1" s="11">
      <c r="A3" s="14" t="n">
        <v>2</v>
      </c>
      <c r="B3" s="14" t="inlineStr">
        <is>
          <t>COW001</t>
        </is>
      </c>
      <c r="C3" s="14" t="inlineStr">
        <is>
          <t>RFID100001</t>
        </is>
      </c>
      <c r="D3" s="14" t="inlineStr">
        <is>
          <t>2024-01-24</t>
        </is>
      </c>
      <c r="E3" s="14" t="inlineStr">
        <is>
          <t>Yes</t>
        </is>
      </c>
      <c r="F3" s="14" t="n">
        <v>21</v>
      </c>
      <c r="G3" s="14" t="inlineStr">
        <is>
          <t>2024-02-14</t>
        </is>
      </c>
      <c r="H3" s="14" t="n">
        <v>-108</v>
      </c>
      <c r="I3" s="14" t="inlineStr">
        <is>
          <t>2024-01-25</t>
        </is>
      </c>
      <c r="J3" s="14" t="inlineStr">
        <is>
          <t>Confirmed</t>
        </is>
      </c>
      <c r="K3" s="14" t="n">
        <v>4</v>
      </c>
      <c r="L3" s="14" t="inlineStr">
        <is>
          <t>Regular cycle</t>
        </is>
      </c>
    </row>
    <row r="4" ht="15" customHeight="1" s="11">
      <c r="A4" s="13" t="n">
        <v>3</v>
      </c>
      <c r="B4" s="13" t="inlineStr">
        <is>
          <t>COW001</t>
        </is>
      </c>
      <c r="C4" s="13" t="inlineStr">
        <is>
          <t>RFID100001</t>
        </is>
      </c>
      <c r="D4" s="13" t="inlineStr">
        <is>
          <t>2024-02-12</t>
        </is>
      </c>
      <c r="E4" s="13" t="inlineStr">
        <is>
          <t>Yes</t>
        </is>
      </c>
      <c r="F4" s="13" t="n">
        <v>19</v>
      </c>
      <c r="G4" s="13" t="inlineStr">
        <is>
          <t>2024-03-02</t>
        </is>
      </c>
      <c r="H4" s="13" t="n">
        <v>-91</v>
      </c>
      <c r="I4" s="13" t="inlineStr">
        <is>
          <t>2024-02-13</t>
        </is>
      </c>
      <c r="J4" s="13" t="inlineStr">
        <is>
          <t>Confirmed</t>
        </is>
      </c>
      <c r="K4" s="13" t="n">
        <v>1</v>
      </c>
      <c r="L4" s="13" t="inlineStr">
        <is>
          <t>Regular cycle</t>
        </is>
      </c>
    </row>
    <row r="5" ht="15" customHeight="1" s="11">
      <c r="A5" s="14" t="n">
        <v>4</v>
      </c>
      <c r="B5" s="14" t="inlineStr">
        <is>
          <t>COW002</t>
        </is>
      </c>
      <c r="C5" s="14" t="inlineStr">
        <is>
          <t>RFID100002</t>
        </is>
      </c>
      <c r="D5" s="14" t="inlineStr">
        <is>
          <t>2024-01-03</t>
        </is>
      </c>
      <c r="E5" s="14" t="inlineStr">
        <is>
          <t>Yes</t>
        </is>
      </c>
      <c r="F5" s="14" t="n">
        <v>24</v>
      </c>
      <c r="G5" s="14" t="inlineStr">
        <is>
          <t>2024-01-27</t>
        </is>
      </c>
      <c r="H5" s="14" t="n">
        <v>-126</v>
      </c>
      <c r="I5" s="14" t="inlineStr">
        <is>
          <t>2024-01-03</t>
        </is>
      </c>
      <c r="J5" s="14" t="inlineStr">
        <is>
          <t>Failed</t>
        </is>
      </c>
      <c r="K5" s="14" t="n">
        <v>1</v>
      </c>
      <c r="L5" s="14" t="inlineStr">
        <is>
          <t>Regular cycle</t>
        </is>
      </c>
    </row>
    <row r="6" ht="15" customHeight="1" s="11">
      <c r="A6" s="13" t="n">
        <v>5</v>
      </c>
      <c r="B6" s="13" t="inlineStr">
        <is>
          <t>COW002</t>
        </is>
      </c>
      <c r="C6" s="13" t="inlineStr">
        <is>
          <t>RFID100002</t>
        </is>
      </c>
      <c r="D6" s="13" t="inlineStr">
        <is>
          <t>2024-01-22</t>
        </is>
      </c>
      <c r="E6" s="13" t="inlineStr">
        <is>
          <t>Yes</t>
        </is>
      </c>
      <c r="F6" s="13" t="n">
        <v>22</v>
      </c>
      <c r="G6" s="13" t="inlineStr">
        <is>
          <t>2024-02-13</t>
        </is>
      </c>
      <c r="H6" s="13" t="n">
        <v>-109</v>
      </c>
      <c r="I6" s="13" t="inlineStr">
        <is>
          <t>2024-01-23</t>
        </is>
      </c>
      <c r="J6" s="13" t="inlineStr">
        <is>
          <t>Confirmed</t>
        </is>
      </c>
      <c r="K6" s="13" t="n">
        <v>2</v>
      </c>
      <c r="L6" s="13" t="inlineStr">
        <is>
          <t>Regular cycle</t>
        </is>
      </c>
    </row>
    <row r="7" ht="15" customHeight="1" s="11">
      <c r="A7" s="14" t="n">
        <v>6</v>
      </c>
      <c r="B7" s="14" t="inlineStr">
        <is>
          <t>COW002</t>
        </is>
      </c>
      <c r="C7" s="14" t="inlineStr">
        <is>
          <t>RFID100002</t>
        </is>
      </c>
      <c r="D7" s="14" t="inlineStr">
        <is>
          <t>2024-02-12</t>
        </is>
      </c>
      <c r="E7" s="14" t="inlineStr">
        <is>
          <t>Yes</t>
        </is>
      </c>
      <c r="F7" s="14" t="n">
        <v>19</v>
      </c>
      <c r="G7" s="14" t="inlineStr">
        <is>
          <t>2024-03-02</t>
        </is>
      </c>
      <c r="H7" s="14" t="n">
        <v>-91</v>
      </c>
      <c r="I7" s="14" t="inlineStr">
        <is>
          <t>2024-02-13</t>
        </is>
      </c>
      <c r="J7" s="14" t="inlineStr">
        <is>
          <t>Pending</t>
        </is>
      </c>
      <c r="K7" s="14" t="n">
        <v>2</v>
      </c>
      <c r="L7" s="14" t="inlineStr">
        <is>
          <t>Regular cycle</t>
        </is>
      </c>
    </row>
    <row r="8" ht="15" customHeight="1" s="11">
      <c r="A8" s="13" t="n">
        <v>7</v>
      </c>
      <c r="B8" s="13" t="inlineStr">
        <is>
          <t>COW003</t>
        </is>
      </c>
      <c r="C8" s="13" t="inlineStr">
        <is>
          <t>RFID100003</t>
        </is>
      </c>
      <c r="D8" s="13" t="inlineStr">
        <is>
          <t>2024-01-02</t>
        </is>
      </c>
      <c r="E8" s="13" t="inlineStr">
        <is>
          <t>Yes</t>
        </is>
      </c>
      <c r="F8" s="13" t="n">
        <v>22</v>
      </c>
      <c r="G8" s="13" t="inlineStr">
        <is>
          <t>2024-01-24</t>
        </is>
      </c>
      <c r="H8" s="13" t="n">
        <v>-129</v>
      </c>
      <c r="I8" s="13" t="inlineStr">
        <is>
          <t>2024-01-03</t>
        </is>
      </c>
      <c r="J8" s="13" t="inlineStr">
        <is>
          <t>Confirmed</t>
        </is>
      </c>
      <c r="K8" s="13" t="n">
        <v>4</v>
      </c>
      <c r="L8" s="13" t="inlineStr">
        <is>
          <t>Regular cycle</t>
        </is>
      </c>
    </row>
    <row r="9" ht="15" customHeight="1" s="11">
      <c r="A9" s="14" t="n">
        <v>8</v>
      </c>
      <c r="B9" s="14" t="inlineStr">
        <is>
          <t>COW003</t>
        </is>
      </c>
      <c r="C9" s="14" t="inlineStr">
        <is>
          <t>RFID100003</t>
        </is>
      </c>
      <c r="D9" s="14" t="inlineStr">
        <is>
          <t>2024-01-23</t>
        </is>
      </c>
      <c r="E9" s="14" t="inlineStr">
        <is>
          <t>Yes</t>
        </is>
      </c>
      <c r="F9" s="14" t="n">
        <v>21</v>
      </c>
      <c r="G9" s="14" t="inlineStr">
        <is>
          <t>2024-02-13</t>
        </is>
      </c>
      <c r="H9" s="14" t="n">
        <v>-109</v>
      </c>
      <c r="I9" s="14" t="inlineStr">
        <is>
          <t>2024-01-23</t>
        </is>
      </c>
      <c r="J9" s="14" t="inlineStr">
        <is>
          <t>Failed</t>
        </is>
      </c>
      <c r="K9" s="14" t="n">
        <v>3</v>
      </c>
      <c r="L9" s="14" t="inlineStr">
        <is>
          <t>Regular cycle</t>
        </is>
      </c>
    </row>
    <row r="10" ht="15" customHeight="1" s="11">
      <c r="A10" s="13" t="n">
        <v>9</v>
      </c>
      <c r="B10" s="13" t="inlineStr">
        <is>
          <t>COW003</t>
        </is>
      </c>
      <c r="C10" s="13" t="inlineStr">
        <is>
          <t>RFID100003</t>
        </is>
      </c>
      <c r="D10" s="13" t="inlineStr">
        <is>
          <t>2024-02-11</t>
        </is>
      </c>
      <c r="E10" s="13" t="inlineStr">
        <is>
          <t>Yes</t>
        </is>
      </c>
      <c r="F10" s="13" t="n">
        <v>19</v>
      </c>
      <c r="G10" s="13" t="inlineStr">
        <is>
          <t>2024-03-01</t>
        </is>
      </c>
      <c r="H10" s="13" t="n">
        <v>-92</v>
      </c>
      <c r="I10" s="13" t="inlineStr">
        <is>
          <t>2024-02-12</t>
        </is>
      </c>
      <c r="J10" s="13" t="inlineStr">
        <is>
          <t>Confirmed</t>
        </is>
      </c>
      <c r="K10" s="13" t="n">
        <v>5</v>
      </c>
      <c r="L10" s="13" t="inlineStr">
        <is>
          <t>Regular cycle</t>
        </is>
      </c>
    </row>
    <row r="11" ht="15" customHeight="1" s="11">
      <c r="A11" s="14" t="n">
        <v>10</v>
      </c>
      <c r="B11" s="14" t="inlineStr">
        <is>
          <t>COW004</t>
        </is>
      </c>
      <c r="C11" s="14" t="inlineStr">
        <is>
          <t>RFID100004</t>
        </is>
      </c>
      <c r="D11" s="14" t="inlineStr">
        <is>
          <t>2023-12-30</t>
        </is>
      </c>
      <c r="E11" s="14" t="inlineStr">
        <is>
          <t>Yes</t>
        </is>
      </c>
      <c r="F11" s="14" t="n">
        <v>22</v>
      </c>
      <c r="G11" s="14" t="inlineStr">
        <is>
          <t>2024-01-21</t>
        </is>
      </c>
      <c r="H11" s="14" t="n">
        <v>-132</v>
      </c>
      <c r="I11" s="14" t="inlineStr">
        <is>
          <t>2023-12-30</t>
        </is>
      </c>
      <c r="J11" s="14" t="inlineStr">
        <is>
          <t>Failed</t>
        </is>
      </c>
      <c r="K11" s="14" t="n">
        <v>1</v>
      </c>
      <c r="L11" s="14" t="inlineStr">
        <is>
          <t>Regular cycle</t>
        </is>
      </c>
    </row>
    <row r="12" ht="15" customHeight="1" s="11">
      <c r="A12" s="13" t="n">
        <v>11</v>
      </c>
      <c r="B12" s="13" t="inlineStr">
        <is>
          <t>COW004</t>
        </is>
      </c>
      <c r="C12" s="13" t="inlineStr">
        <is>
          <t>RFID100004</t>
        </is>
      </c>
      <c r="D12" s="13" t="inlineStr">
        <is>
          <t>2024-01-20</t>
        </is>
      </c>
      <c r="E12" s="13" t="inlineStr">
        <is>
          <t>Yes</t>
        </is>
      </c>
      <c r="F12" s="13" t="n">
        <v>24</v>
      </c>
      <c r="G12" s="13" t="inlineStr">
        <is>
          <t>2024-02-13</t>
        </is>
      </c>
      <c r="H12" s="13" t="n">
        <v>-109</v>
      </c>
      <c r="I12" s="13" t="inlineStr">
        <is>
          <t>2024-01-20</t>
        </is>
      </c>
      <c r="J12" s="13" t="inlineStr">
        <is>
          <t>Confirmed</t>
        </is>
      </c>
      <c r="K12" s="13" t="n">
        <v>2</v>
      </c>
      <c r="L12" s="13" t="inlineStr">
        <is>
          <t>Regular cycle</t>
        </is>
      </c>
    </row>
    <row r="13" ht="15" customHeight="1" s="11">
      <c r="A13" s="14" t="n">
        <v>12</v>
      </c>
      <c r="B13" s="14" t="inlineStr">
        <is>
          <t>COW004</t>
        </is>
      </c>
      <c r="C13" s="14" t="inlineStr">
        <is>
          <t>RFID100004</t>
        </is>
      </c>
      <c r="D13" s="14" t="inlineStr">
        <is>
          <t>2024-02-10</t>
        </is>
      </c>
      <c r="E13" s="14" t="inlineStr">
        <is>
          <t>Yes</t>
        </is>
      </c>
      <c r="F13" s="14" t="n">
        <v>23</v>
      </c>
      <c r="G13" s="14" t="inlineStr">
        <is>
          <t>2024-03-04</t>
        </is>
      </c>
      <c r="H13" s="14" t="n">
        <v>-89</v>
      </c>
      <c r="I13" s="14" t="inlineStr">
        <is>
          <t>2024-02-10</t>
        </is>
      </c>
      <c r="J13" s="14" t="inlineStr">
        <is>
          <t>Confirmed</t>
        </is>
      </c>
      <c r="K13" s="14" t="n">
        <v>5</v>
      </c>
      <c r="L13" s="14" t="inlineStr">
        <is>
          <t>Regular cycle</t>
        </is>
      </c>
    </row>
    <row r="14" ht="15" customHeight="1" s="11">
      <c r="A14" s="13" t="n">
        <v>13</v>
      </c>
      <c r="B14" s="13" t="inlineStr">
        <is>
          <t>COW005</t>
        </is>
      </c>
      <c r="C14" s="13" t="inlineStr">
        <is>
          <t>RFID100005</t>
        </is>
      </c>
      <c r="D14" s="13" t="inlineStr">
        <is>
          <t>2024-01-02</t>
        </is>
      </c>
      <c r="E14" s="13" t="inlineStr">
        <is>
          <t>Yes</t>
        </is>
      </c>
      <c r="F14" s="13" t="n">
        <v>20</v>
      </c>
      <c r="G14" s="13" t="inlineStr">
        <is>
          <t>2024-01-22</t>
        </is>
      </c>
      <c r="H14" s="13" t="n">
        <v>-131</v>
      </c>
      <c r="I14" s="13" t="inlineStr">
        <is>
          <t>2024-01-02</t>
        </is>
      </c>
      <c r="J14" s="13" t="inlineStr">
        <is>
          <t>Pending</t>
        </is>
      </c>
      <c r="K14" s="13" t="n">
        <v>5</v>
      </c>
      <c r="L14" s="13" t="inlineStr">
        <is>
          <t>Regular cycle</t>
        </is>
      </c>
    </row>
    <row r="15" ht="15" customHeight="1" s="11">
      <c r="A15" s="14" t="n">
        <v>14</v>
      </c>
      <c r="B15" s="14" t="inlineStr">
        <is>
          <t>COW005</t>
        </is>
      </c>
      <c r="C15" s="14" t="inlineStr">
        <is>
          <t>RFID100005</t>
        </is>
      </c>
      <c r="D15" s="14" t="inlineStr">
        <is>
          <t>2024-01-23</t>
        </is>
      </c>
      <c r="E15" s="14" t="inlineStr">
        <is>
          <t>Yes</t>
        </is>
      </c>
      <c r="F15" s="14" t="n">
        <v>23</v>
      </c>
      <c r="G15" s="14" t="inlineStr">
        <is>
          <t>2024-02-15</t>
        </is>
      </c>
      <c r="H15" s="14" t="n">
        <v>-107</v>
      </c>
      <c r="I15" s="14" t="inlineStr">
        <is>
          <t>2024-01-24</t>
        </is>
      </c>
      <c r="J15" s="14" t="inlineStr">
        <is>
          <t>Confirmed</t>
        </is>
      </c>
      <c r="K15" s="14" t="n">
        <v>5</v>
      </c>
      <c r="L15" s="14" t="inlineStr">
        <is>
          <t>Regular cycle</t>
        </is>
      </c>
    </row>
    <row r="16" ht="15" customHeight="1" s="11">
      <c r="A16" s="13" t="n">
        <v>15</v>
      </c>
      <c r="B16" s="13" t="inlineStr">
        <is>
          <t>COW005</t>
        </is>
      </c>
      <c r="C16" s="13" t="inlineStr">
        <is>
          <t>RFID100005</t>
        </is>
      </c>
      <c r="D16" s="13" t="inlineStr">
        <is>
          <t>2024-02-14</t>
        </is>
      </c>
      <c r="E16" s="13" t="inlineStr">
        <is>
          <t>Yes</t>
        </is>
      </c>
      <c r="F16" s="13" t="n">
        <v>21</v>
      </c>
      <c r="G16" s="13" t="inlineStr">
        <is>
          <t>2024-03-06</t>
        </is>
      </c>
      <c r="H16" s="13" t="n">
        <v>-87</v>
      </c>
      <c r="I16" s="13" t="inlineStr">
        <is>
          <t>2024-02-14</t>
        </is>
      </c>
      <c r="J16" s="13" t="inlineStr">
        <is>
          <t>Confirmed</t>
        </is>
      </c>
      <c r="K16" s="13" t="n">
        <v>3</v>
      </c>
      <c r="L16" s="13" t="inlineStr">
        <is>
          <t>Regular cycle</t>
        </is>
      </c>
    </row>
    <row r="17" ht="15" customHeight="1" s="11">
      <c r="A17" s="14" t="n">
        <v>16</v>
      </c>
      <c r="B17" s="14" t="inlineStr">
        <is>
          <t>COW006</t>
        </is>
      </c>
      <c r="C17" s="14" t="inlineStr">
        <is>
          <t>RFID100006</t>
        </is>
      </c>
      <c r="D17" s="14" t="inlineStr">
        <is>
          <t>2024-01-03</t>
        </is>
      </c>
      <c r="E17" s="14" t="inlineStr">
        <is>
          <t>Yes</t>
        </is>
      </c>
      <c r="F17" s="14" t="n">
        <v>20</v>
      </c>
      <c r="G17" s="14" t="inlineStr">
        <is>
          <t>2024-01-23</t>
        </is>
      </c>
      <c r="H17" s="14" t="n">
        <v>-130</v>
      </c>
      <c r="I17" s="14" t="inlineStr">
        <is>
          <t>2024-01-03</t>
        </is>
      </c>
      <c r="J17" s="14" t="inlineStr">
        <is>
          <t>Pending</t>
        </is>
      </c>
      <c r="K17" s="14" t="n">
        <v>4</v>
      </c>
      <c r="L17" s="14" t="inlineStr">
        <is>
          <t>Regular cycle</t>
        </is>
      </c>
    </row>
    <row r="18" ht="15" customHeight="1" s="11">
      <c r="A18" s="13" t="n">
        <v>17</v>
      </c>
      <c r="B18" s="13" t="inlineStr">
        <is>
          <t>COW006</t>
        </is>
      </c>
      <c r="C18" s="13" t="inlineStr">
        <is>
          <t>RFID100006</t>
        </is>
      </c>
      <c r="D18" s="13" t="inlineStr">
        <is>
          <t>2024-01-21</t>
        </is>
      </c>
      <c r="E18" s="13" t="inlineStr">
        <is>
          <t>Yes</t>
        </is>
      </c>
      <c r="F18" s="13" t="n">
        <v>18</v>
      </c>
      <c r="G18" s="13" t="inlineStr">
        <is>
          <t>2024-02-08</t>
        </is>
      </c>
      <c r="H18" s="13" t="n">
        <v>-114</v>
      </c>
      <c r="I18" s="13" t="inlineStr">
        <is>
          <t>2024-01-21</t>
        </is>
      </c>
      <c r="J18" s="13" t="inlineStr">
        <is>
          <t>Pending</t>
        </is>
      </c>
      <c r="K18" s="13" t="n">
        <v>2</v>
      </c>
      <c r="L18" s="13" t="inlineStr">
        <is>
          <t>Regular cycle</t>
        </is>
      </c>
    </row>
    <row r="19" ht="15" customHeight="1" s="11">
      <c r="A19" s="14" t="n">
        <v>18</v>
      </c>
      <c r="B19" s="14" t="inlineStr">
        <is>
          <t>COW006</t>
        </is>
      </c>
      <c r="C19" s="14" t="inlineStr">
        <is>
          <t>RFID100006</t>
        </is>
      </c>
      <c r="D19" s="14" t="inlineStr">
        <is>
          <t>2024-02-11</t>
        </is>
      </c>
      <c r="E19" s="14" t="inlineStr">
        <is>
          <t>Yes</t>
        </is>
      </c>
      <c r="F19" s="14" t="n">
        <v>22</v>
      </c>
      <c r="G19" s="14" t="inlineStr">
        <is>
          <t>2024-03-04</t>
        </is>
      </c>
      <c r="H19" s="14" t="n">
        <v>-89</v>
      </c>
      <c r="I19" s="14" t="inlineStr">
        <is>
          <t>2024-02-12</t>
        </is>
      </c>
      <c r="J19" s="14" t="inlineStr">
        <is>
          <t>Failed</t>
        </is>
      </c>
      <c r="K19" s="14" t="n">
        <v>3</v>
      </c>
      <c r="L19" s="14" t="inlineStr">
        <is>
          <t>Regular cycle</t>
        </is>
      </c>
    </row>
    <row r="20" ht="15" customHeight="1" s="11">
      <c r="A20" s="13" t="n">
        <v>19</v>
      </c>
      <c r="B20" s="13" t="inlineStr">
        <is>
          <t>COW007</t>
        </is>
      </c>
      <c r="C20" s="13" t="inlineStr">
        <is>
          <t>RFID100007</t>
        </is>
      </c>
      <c r="D20" s="13" t="inlineStr">
        <is>
          <t>2024-01-02</t>
        </is>
      </c>
      <c r="E20" s="13" t="inlineStr">
        <is>
          <t>Yes</t>
        </is>
      </c>
      <c r="F20" s="13" t="n">
        <v>18</v>
      </c>
      <c r="G20" s="13" t="inlineStr">
        <is>
          <t>2024-01-20</t>
        </is>
      </c>
      <c r="H20" s="13" t="n">
        <v>-133</v>
      </c>
      <c r="I20" s="13" t="inlineStr">
        <is>
          <t>2024-01-03</t>
        </is>
      </c>
      <c r="J20" s="13" t="inlineStr">
        <is>
          <t>Not Attempted</t>
        </is>
      </c>
      <c r="K20" s="13" t="n">
        <v>4</v>
      </c>
      <c r="L20" s="13" t="inlineStr">
        <is>
          <t>Regular cycle</t>
        </is>
      </c>
    </row>
    <row r="21" ht="15" customHeight="1" s="11">
      <c r="A21" s="14" t="n">
        <v>20</v>
      </c>
      <c r="B21" s="14" t="inlineStr">
        <is>
          <t>COW007</t>
        </is>
      </c>
      <c r="C21" s="14" t="inlineStr">
        <is>
          <t>RFID100007</t>
        </is>
      </c>
      <c r="D21" s="14" t="inlineStr">
        <is>
          <t>2024-01-24</t>
        </is>
      </c>
      <c r="E21" s="14" t="inlineStr">
        <is>
          <t>Yes</t>
        </is>
      </c>
      <c r="F21" s="14" t="n">
        <v>19</v>
      </c>
      <c r="G21" s="14" t="inlineStr">
        <is>
          <t>2024-02-12</t>
        </is>
      </c>
      <c r="H21" s="14" t="n">
        <v>-110</v>
      </c>
      <c r="I21" s="14" t="inlineStr">
        <is>
          <t>2024-01-24</t>
        </is>
      </c>
      <c r="J21" s="14" t="inlineStr">
        <is>
          <t>Confirmed</t>
        </is>
      </c>
      <c r="K21" s="14" t="n">
        <v>1</v>
      </c>
      <c r="L21" s="14" t="inlineStr">
        <is>
          <t>Regular cycle</t>
        </is>
      </c>
    </row>
    <row r="22" ht="15" customHeight="1" s="11">
      <c r="A22" s="13" t="n">
        <v>21</v>
      </c>
      <c r="B22" s="13" t="inlineStr">
        <is>
          <t>COW007</t>
        </is>
      </c>
      <c r="C22" s="13" t="inlineStr">
        <is>
          <t>RFID100007</t>
        </is>
      </c>
      <c r="D22" s="13" t="inlineStr">
        <is>
          <t>2024-02-10</t>
        </is>
      </c>
      <c r="E22" s="13" t="inlineStr">
        <is>
          <t>Yes</t>
        </is>
      </c>
      <c r="F22" s="13" t="n">
        <v>18</v>
      </c>
      <c r="G22" s="13" t="inlineStr">
        <is>
          <t>2024-02-28</t>
        </is>
      </c>
      <c r="H22" s="13" t="n">
        <v>-94</v>
      </c>
      <c r="I22" s="13" t="inlineStr">
        <is>
          <t>2024-02-11</t>
        </is>
      </c>
      <c r="J22" s="13" t="inlineStr">
        <is>
          <t>Confirmed</t>
        </is>
      </c>
      <c r="K22" s="13" t="n">
        <v>5</v>
      </c>
      <c r="L22" s="13" t="inlineStr">
        <is>
          <t>Regular cycle</t>
        </is>
      </c>
    </row>
    <row r="23" ht="15" customHeight="1" s="11">
      <c r="A23" s="14" t="n">
        <v>22</v>
      </c>
      <c r="B23" s="14" t="inlineStr">
        <is>
          <t>COW008</t>
        </is>
      </c>
      <c r="C23" s="14" t="inlineStr">
        <is>
          <t>RFID100008</t>
        </is>
      </c>
      <c r="D23" s="14" t="inlineStr">
        <is>
          <t>2024-01-02</t>
        </is>
      </c>
      <c r="E23" s="14" t="inlineStr">
        <is>
          <t>Yes</t>
        </is>
      </c>
      <c r="F23" s="14" t="n">
        <v>18</v>
      </c>
      <c r="G23" s="14" t="inlineStr">
        <is>
          <t>2024-01-20</t>
        </is>
      </c>
      <c r="H23" s="14" t="n">
        <v>-133</v>
      </c>
      <c r="I23" s="14" t="inlineStr">
        <is>
          <t>2024-01-02</t>
        </is>
      </c>
      <c r="J23" s="14" t="inlineStr">
        <is>
          <t>Failed</t>
        </is>
      </c>
      <c r="K23" s="14" t="n">
        <v>1</v>
      </c>
      <c r="L23" s="14" t="inlineStr">
        <is>
          <t>Regular cycle</t>
        </is>
      </c>
    </row>
    <row r="24" ht="15" customHeight="1" s="11">
      <c r="A24" s="13" t="n">
        <v>23</v>
      </c>
      <c r="B24" s="13" t="inlineStr">
        <is>
          <t>COW008</t>
        </is>
      </c>
      <c r="C24" s="13" t="inlineStr">
        <is>
          <t>RFID100008</t>
        </is>
      </c>
      <c r="D24" s="13" t="inlineStr">
        <is>
          <t>2024-01-23</t>
        </is>
      </c>
      <c r="E24" s="13" t="inlineStr">
        <is>
          <t>Yes</t>
        </is>
      </c>
      <c r="F24" s="13" t="n">
        <v>24</v>
      </c>
      <c r="G24" s="13" t="inlineStr">
        <is>
          <t>2024-02-16</t>
        </is>
      </c>
      <c r="H24" s="13" t="n">
        <v>-106</v>
      </c>
      <c r="I24" s="13" t="inlineStr">
        <is>
          <t>2024-01-24</t>
        </is>
      </c>
      <c r="J24" s="13" t="inlineStr">
        <is>
          <t>Pending</t>
        </is>
      </c>
      <c r="K24" s="13" t="n">
        <v>3</v>
      </c>
      <c r="L24" s="13" t="inlineStr">
        <is>
          <t>Regular cycle</t>
        </is>
      </c>
    </row>
    <row r="25" ht="15" customHeight="1" s="11">
      <c r="A25" s="14" t="n">
        <v>24</v>
      </c>
      <c r="B25" s="14" t="inlineStr">
        <is>
          <t>COW008</t>
        </is>
      </c>
      <c r="C25" s="14" t="inlineStr">
        <is>
          <t>RFID100008</t>
        </is>
      </c>
      <c r="D25" s="14" t="inlineStr">
        <is>
          <t>2024-02-14</t>
        </is>
      </c>
      <c r="E25" s="14" t="inlineStr">
        <is>
          <t>Yes</t>
        </is>
      </c>
      <c r="F25" s="14" t="n">
        <v>24</v>
      </c>
      <c r="G25" s="14" t="inlineStr">
        <is>
          <t>2024-03-09</t>
        </is>
      </c>
      <c r="H25" s="14" t="n">
        <v>-84</v>
      </c>
      <c r="I25" s="14" t="inlineStr">
        <is>
          <t>2024-02-14</t>
        </is>
      </c>
      <c r="J25" s="14" t="inlineStr">
        <is>
          <t>Failed</t>
        </is>
      </c>
      <c r="K25" s="14" t="n">
        <v>1</v>
      </c>
      <c r="L25" s="14" t="inlineStr">
        <is>
          <t>Regular cycle</t>
        </is>
      </c>
    </row>
    <row r="26" ht="15" customHeight="1" s="11">
      <c r="A26" s="13" t="n">
        <v>25</v>
      </c>
      <c r="B26" s="13" t="inlineStr">
        <is>
          <t>COW009</t>
        </is>
      </c>
      <c r="C26" s="13" t="inlineStr">
        <is>
          <t>RFID100009</t>
        </is>
      </c>
      <c r="D26" s="13" t="inlineStr">
        <is>
          <t>2023-12-31</t>
        </is>
      </c>
      <c r="E26" s="13" t="inlineStr">
        <is>
          <t>Yes</t>
        </is>
      </c>
      <c r="F26" s="13" t="n">
        <v>19</v>
      </c>
      <c r="G26" s="13" t="inlineStr">
        <is>
          <t>2024-01-19</t>
        </is>
      </c>
      <c r="H26" s="13" t="n">
        <v>-134</v>
      </c>
      <c r="I26" s="13" t="inlineStr">
        <is>
          <t>2024-01-01</t>
        </is>
      </c>
      <c r="J26" s="13" t="inlineStr">
        <is>
          <t>Confirmed</t>
        </is>
      </c>
      <c r="K26" s="13" t="n">
        <v>1</v>
      </c>
      <c r="L26" s="13" t="inlineStr">
        <is>
          <t>Regular cycle</t>
        </is>
      </c>
    </row>
    <row r="27" ht="15" customHeight="1" s="11">
      <c r="A27" s="14" t="n">
        <v>26</v>
      </c>
      <c r="B27" s="14" t="inlineStr">
        <is>
          <t>COW009</t>
        </is>
      </c>
      <c r="C27" s="14" t="inlineStr">
        <is>
          <t>RFID100009</t>
        </is>
      </c>
      <c r="D27" s="14" t="inlineStr">
        <is>
          <t>2024-01-22</t>
        </is>
      </c>
      <c r="E27" s="14" t="inlineStr">
        <is>
          <t>Yes</t>
        </is>
      </c>
      <c r="F27" s="14" t="n">
        <v>22</v>
      </c>
      <c r="G27" s="14" t="inlineStr">
        <is>
          <t>2024-02-13</t>
        </is>
      </c>
      <c r="H27" s="14" t="n">
        <v>-109</v>
      </c>
      <c r="I27" s="14" t="inlineStr">
        <is>
          <t>2024-01-22</t>
        </is>
      </c>
      <c r="J27" s="14" t="inlineStr">
        <is>
          <t>Confirmed</t>
        </is>
      </c>
      <c r="K27" s="14" t="n">
        <v>3</v>
      </c>
      <c r="L27" s="14" t="inlineStr">
        <is>
          <t>Regular cycle</t>
        </is>
      </c>
    </row>
    <row r="28" ht="15" customHeight="1" s="11">
      <c r="A28" s="13" t="n">
        <v>27</v>
      </c>
      <c r="B28" s="13" t="inlineStr">
        <is>
          <t>COW009</t>
        </is>
      </c>
      <c r="C28" s="13" t="inlineStr">
        <is>
          <t>RFID100009</t>
        </is>
      </c>
      <c r="D28" s="13" t="inlineStr">
        <is>
          <t>2024-02-10</t>
        </is>
      </c>
      <c r="E28" s="13" t="inlineStr">
        <is>
          <t>Yes</t>
        </is>
      </c>
      <c r="F28" s="13" t="n">
        <v>19</v>
      </c>
      <c r="G28" s="13" t="inlineStr">
        <is>
          <t>2024-02-29</t>
        </is>
      </c>
      <c r="H28" s="13" t="n">
        <v>-93</v>
      </c>
      <c r="I28" s="13" t="inlineStr">
        <is>
          <t>2024-02-10</t>
        </is>
      </c>
      <c r="J28" s="13" t="inlineStr">
        <is>
          <t>Failed</t>
        </is>
      </c>
      <c r="K28" s="13" t="n">
        <v>4</v>
      </c>
      <c r="L28" s="13" t="inlineStr">
        <is>
          <t>Regular cycle</t>
        </is>
      </c>
    </row>
    <row r="29" ht="15" customHeight="1" s="11">
      <c r="A29" s="14" t="n">
        <v>28</v>
      </c>
      <c r="B29" s="14" t="inlineStr">
        <is>
          <t>COW010</t>
        </is>
      </c>
      <c r="C29" s="14" t="inlineStr">
        <is>
          <t>RFID100010</t>
        </is>
      </c>
      <c r="D29" s="14" t="inlineStr">
        <is>
          <t>2023-12-30</t>
        </is>
      </c>
      <c r="E29" s="14" t="inlineStr">
        <is>
          <t>Yes</t>
        </is>
      </c>
      <c r="F29" s="14" t="n">
        <v>20</v>
      </c>
      <c r="G29" s="14" t="inlineStr">
        <is>
          <t>2024-01-19</t>
        </is>
      </c>
      <c r="H29" s="14" t="n">
        <v>-134</v>
      </c>
      <c r="I29" s="14" t="inlineStr">
        <is>
          <t>2023-12-30</t>
        </is>
      </c>
      <c r="J29" s="14" t="inlineStr">
        <is>
          <t>Pending</t>
        </is>
      </c>
      <c r="K29" s="14" t="n">
        <v>5</v>
      </c>
      <c r="L29" s="14" t="inlineStr">
        <is>
          <t>Regular cycle</t>
        </is>
      </c>
    </row>
    <row r="30" ht="15" customHeight="1" s="11">
      <c r="A30" s="13" t="n">
        <v>29</v>
      </c>
      <c r="B30" s="13" t="inlineStr">
        <is>
          <t>COW010</t>
        </is>
      </c>
      <c r="C30" s="13" t="inlineStr">
        <is>
          <t>RFID100010</t>
        </is>
      </c>
      <c r="D30" s="13" t="inlineStr">
        <is>
          <t>2024-01-23</t>
        </is>
      </c>
      <c r="E30" s="13" t="inlineStr">
        <is>
          <t>Yes</t>
        </is>
      </c>
      <c r="F30" s="13" t="n">
        <v>23</v>
      </c>
      <c r="G30" s="13" t="inlineStr">
        <is>
          <t>2024-02-15</t>
        </is>
      </c>
      <c r="H30" s="13" t="n">
        <v>-107</v>
      </c>
      <c r="I30" s="13" t="inlineStr">
        <is>
          <t>2024-01-24</t>
        </is>
      </c>
      <c r="J30" s="13" t="inlineStr">
        <is>
          <t>Confirmed</t>
        </is>
      </c>
      <c r="K30" s="13" t="n">
        <v>2</v>
      </c>
      <c r="L30" s="13" t="inlineStr">
        <is>
          <t>Regular cycle</t>
        </is>
      </c>
    </row>
    <row r="31" ht="15" customHeight="1" s="11">
      <c r="A31" s="14" t="n">
        <v>30</v>
      </c>
      <c r="B31" s="14" t="inlineStr">
        <is>
          <t>COW010</t>
        </is>
      </c>
      <c r="C31" s="14" t="inlineStr">
        <is>
          <t>RFID100010</t>
        </is>
      </c>
      <c r="D31" s="14" t="inlineStr">
        <is>
          <t>2024-02-10</t>
        </is>
      </c>
      <c r="E31" s="14" t="inlineStr">
        <is>
          <t>Yes</t>
        </is>
      </c>
      <c r="F31" s="14" t="n">
        <v>22</v>
      </c>
      <c r="G31" s="14" t="inlineStr">
        <is>
          <t>2024-03-03</t>
        </is>
      </c>
      <c r="H31" s="14" t="n">
        <v>-90</v>
      </c>
      <c r="I31" s="14" t="inlineStr">
        <is>
          <t>2024-02-11</t>
        </is>
      </c>
      <c r="J31" s="14" t="inlineStr">
        <is>
          <t>Confirmed</t>
        </is>
      </c>
      <c r="K31" s="14" t="n">
        <v>4</v>
      </c>
      <c r="L31" s="14" t="inlineStr">
        <is>
          <t>Regular cycle</t>
        </is>
      </c>
    </row>
    <row r="32" ht="15" customHeight="1" s="11">
      <c r="A32" s="13" t="n">
        <v>31</v>
      </c>
      <c r="B32" s="13" t="inlineStr">
        <is>
          <t>COW011</t>
        </is>
      </c>
      <c r="C32" s="13" t="inlineStr">
        <is>
          <t>RFID100011</t>
        </is>
      </c>
      <c r="D32" s="13" t="inlineStr">
        <is>
          <t>2023-12-31</t>
        </is>
      </c>
      <c r="E32" s="13" t="inlineStr">
        <is>
          <t>Yes</t>
        </is>
      </c>
      <c r="F32" s="13" t="n">
        <v>24</v>
      </c>
      <c r="G32" s="13" t="inlineStr">
        <is>
          <t>2024-01-24</t>
        </is>
      </c>
      <c r="H32" s="13" t="n">
        <v>-129</v>
      </c>
      <c r="I32" s="13" t="inlineStr">
        <is>
          <t>2023-12-31</t>
        </is>
      </c>
      <c r="J32" s="13" t="inlineStr">
        <is>
          <t>Confirmed</t>
        </is>
      </c>
      <c r="K32" s="13" t="n">
        <v>5</v>
      </c>
      <c r="L32" s="13" t="inlineStr">
        <is>
          <t>Regular cycle</t>
        </is>
      </c>
    </row>
    <row r="33" ht="15" customHeight="1" s="11">
      <c r="A33" s="14" t="n">
        <v>32</v>
      </c>
      <c r="B33" s="14" t="inlineStr">
        <is>
          <t>COW011</t>
        </is>
      </c>
      <c r="C33" s="14" t="inlineStr">
        <is>
          <t>RFID100011</t>
        </is>
      </c>
      <c r="D33" s="14" t="inlineStr">
        <is>
          <t>2024-01-24</t>
        </is>
      </c>
      <c r="E33" s="14" t="inlineStr">
        <is>
          <t>Yes</t>
        </is>
      </c>
      <c r="F33" s="14" t="n">
        <v>21</v>
      </c>
      <c r="G33" s="14" t="inlineStr">
        <is>
          <t>2024-02-14</t>
        </is>
      </c>
      <c r="H33" s="14" t="n">
        <v>-108</v>
      </c>
      <c r="I33" s="14" t="inlineStr">
        <is>
          <t>2024-01-25</t>
        </is>
      </c>
      <c r="J33" s="14" t="inlineStr">
        <is>
          <t>Confirmed</t>
        </is>
      </c>
      <c r="K33" s="14" t="n">
        <v>3</v>
      </c>
      <c r="L33" s="14" t="inlineStr">
        <is>
          <t>Regular cycle</t>
        </is>
      </c>
    </row>
    <row r="34" ht="15" customHeight="1" s="11">
      <c r="A34" s="13" t="n">
        <v>33</v>
      </c>
      <c r="B34" s="13" t="inlineStr">
        <is>
          <t>COW011</t>
        </is>
      </c>
      <c r="C34" s="13" t="inlineStr">
        <is>
          <t>RFID100011</t>
        </is>
      </c>
      <c r="D34" s="13" t="inlineStr">
        <is>
          <t>2024-02-13</t>
        </is>
      </c>
      <c r="E34" s="13" t="inlineStr">
        <is>
          <t>Yes</t>
        </is>
      </c>
      <c r="F34" s="13" t="n">
        <v>21</v>
      </c>
      <c r="G34" s="13" t="inlineStr">
        <is>
          <t>2024-03-05</t>
        </is>
      </c>
      <c r="H34" s="13" t="n">
        <v>-88</v>
      </c>
      <c r="I34" s="13" t="inlineStr">
        <is>
          <t>2024-02-13</t>
        </is>
      </c>
      <c r="J34" s="13" t="inlineStr">
        <is>
          <t>Confirmed</t>
        </is>
      </c>
      <c r="K34" s="13" t="n">
        <v>4</v>
      </c>
      <c r="L34" s="13" t="inlineStr">
        <is>
          <t>Regular cycle</t>
        </is>
      </c>
    </row>
    <row r="35" ht="15" customHeight="1" s="11">
      <c r="A35" s="14" t="n">
        <v>34</v>
      </c>
      <c r="B35" s="14" t="inlineStr">
        <is>
          <t>COW012</t>
        </is>
      </c>
      <c r="C35" s="14" t="inlineStr">
        <is>
          <t>RFID100012</t>
        </is>
      </c>
      <c r="D35" s="14" t="inlineStr">
        <is>
          <t>2024-01-02</t>
        </is>
      </c>
      <c r="E35" s="14" t="inlineStr">
        <is>
          <t>Yes</t>
        </is>
      </c>
      <c r="F35" s="14" t="n">
        <v>19</v>
      </c>
      <c r="G35" s="14" t="inlineStr">
        <is>
          <t>2024-01-21</t>
        </is>
      </c>
      <c r="H35" s="14" t="n">
        <v>-132</v>
      </c>
      <c r="I35" s="14" t="inlineStr">
        <is>
          <t>2024-01-03</t>
        </is>
      </c>
      <c r="J35" s="14" t="inlineStr">
        <is>
          <t>Confirmed</t>
        </is>
      </c>
      <c r="K35" s="14" t="n">
        <v>5</v>
      </c>
      <c r="L35" s="14" t="inlineStr">
        <is>
          <t>Regular cycle</t>
        </is>
      </c>
    </row>
    <row r="36" ht="15" customHeight="1" s="11">
      <c r="A36" s="13" t="n">
        <v>35</v>
      </c>
      <c r="B36" s="13" t="inlineStr">
        <is>
          <t>COW012</t>
        </is>
      </c>
      <c r="C36" s="13" t="inlineStr">
        <is>
          <t>RFID100012</t>
        </is>
      </c>
      <c r="D36" s="13" t="inlineStr">
        <is>
          <t>2024-01-22</t>
        </is>
      </c>
      <c r="E36" s="13" t="inlineStr">
        <is>
          <t>Yes</t>
        </is>
      </c>
      <c r="F36" s="13" t="n">
        <v>24</v>
      </c>
      <c r="G36" s="13" t="inlineStr">
        <is>
          <t>2024-02-15</t>
        </is>
      </c>
      <c r="H36" s="13" t="n">
        <v>-107</v>
      </c>
      <c r="I36" s="13" t="inlineStr">
        <is>
          <t>2024-01-22</t>
        </is>
      </c>
      <c r="J36" s="13" t="inlineStr">
        <is>
          <t>Failed</t>
        </is>
      </c>
      <c r="K36" s="13" t="n">
        <v>1</v>
      </c>
      <c r="L36" s="13" t="inlineStr">
        <is>
          <t>Regular cycle</t>
        </is>
      </c>
    </row>
    <row r="37" ht="15" customHeight="1" s="11">
      <c r="A37" s="14" t="n">
        <v>36</v>
      </c>
      <c r="B37" s="14" t="inlineStr">
        <is>
          <t>COW012</t>
        </is>
      </c>
      <c r="C37" s="14" t="inlineStr">
        <is>
          <t>RFID100012</t>
        </is>
      </c>
      <c r="D37" s="14" t="inlineStr">
        <is>
          <t>2024-02-12</t>
        </is>
      </c>
      <c r="E37" s="14" t="inlineStr">
        <is>
          <t>Yes</t>
        </is>
      </c>
      <c r="F37" s="14" t="n">
        <v>19</v>
      </c>
      <c r="G37" s="14" t="inlineStr">
        <is>
          <t>2024-03-02</t>
        </is>
      </c>
      <c r="H37" s="14" t="n">
        <v>-91</v>
      </c>
      <c r="I37" s="14" t="inlineStr">
        <is>
          <t>2024-02-13</t>
        </is>
      </c>
      <c r="J37" s="14" t="inlineStr">
        <is>
          <t>Failed</t>
        </is>
      </c>
      <c r="K37" s="14" t="n">
        <v>2</v>
      </c>
      <c r="L37" s="14" t="inlineStr">
        <is>
          <t>Regular cycle</t>
        </is>
      </c>
    </row>
    <row r="38" ht="15" customHeight="1" s="11">
      <c r="A38" s="13" t="n">
        <v>37</v>
      </c>
      <c r="B38" s="13" t="inlineStr">
        <is>
          <t>COW013</t>
        </is>
      </c>
      <c r="C38" s="13" t="inlineStr">
        <is>
          <t>RFID100013</t>
        </is>
      </c>
      <c r="D38" s="13" t="inlineStr">
        <is>
          <t>2024-01-02</t>
        </is>
      </c>
      <c r="E38" s="13" t="inlineStr">
        <is>
          <t>Yes</t>
        </is>
      </c>
      <c r="F38" s="13" t="n">
        <v>20</v>
      </c>
      <c r="G38" s="13" t="inlineStr">
        <is>
          <t>2024-01-22</t>
        </is>
      </c>
      <c r="H38" s="13" t="n">
        <v>-131</v>
      </c>
      <c r="I38" s="13" t="inlineStr">
        <is>
          <t>2024-01-03</t>
        </is>
      </c>
      <c r="J38" s="13" t="inlineStr">
        <is>
          <t>Confirmed</t>
        </is>
      </c>
      <c r="K38" s="13" t="n">
        <v>1</v>
      </c>
      <c r="L38" s="13" t="inlineStr">
        <is>
          <t>Regular cycle</t>
        </is>
      </c>
    </row>
    <row r="39" ht="15" customHeight="1" s="11">
      <c r="A39" s="14" t="n">
        <v>38</v>
      </c>
      <c r="B39" s="14" t="inlineStr">
        <is>
          <t>COW013</t>
        </is>
      </c>
      <c r="C39" s="14" t="inlineStr">
        <is>
          <t>RFID100013</t>
        </is>
      </c>
      <c r="D39" s="14" t="inlineStr">
        <is>
          <t>2024-01-22</t>
        </is>
      </c>
      <c r="E39" s="14" t="inlineStr">
        <is>
          <t>Yes</t>
        </is>
      </c>
      <c r="F39" s="14" t="n">
        <v>21</v>
      </c>
      <c r="G39" s="14" t="inlineStr">
        <is>
          <t>2024-02-12</t>
        </is>
      </c>
      <c r="H39" s="14" t="n">
        <v>-110</v>
      </c>
      <c r="I39" s="14" t="inlineStr">
        <is>
          <t>2024-01-23</t>
        </is>
      </c>
      <c r="J39" s="14" t="inlineStr">
        <is>
          <t>Failed</t>
        </is>
      </c>
      <c r="K39" s="14" t="n">
        <v>1</v>
      </c>
      <c r="L39" s="14" t="inlineStr">
        <is>
          <t>Regular cycle</t>
        </is>
      </c>
    </row>
    <row r="40" ht="15" customHeight="1" s="11">
      <c r="A40" s="13" t="n">
        <v>39</v>
      </c>
      <c r="B40" s="13" t="inlineStr">
        <is>
          <t>COW013</t>
        </is>
      </c>
      <c r="C40" s="13" t="inlineStr">
        <is>
          <t>RFID100013</t>
        </is>
      </c>
      <c r="D40" s="13" t="inlineStr">
        <is>
          <t>2024-02-11</t>
        </is>
      </c>
      <c r="E40" s="13" t="inlineStr">
        <is>
          <t>Yes</t>
        </is>
      </c>
      <c r="F40" s="13" t="n">
        <v>18</v>
      </c>
      <c r="G40" s="13" t="inlineStr">
        <is>
          <t>2024-02-29</t>
        </is>
      </c>
      <c r="H40" s="13" t="n">
        <v>-93</v>
      </c>
      <c r="I40" s="13" t="inlineStr">
        <is>
          <t>2024-02-11</t>
        </is>
      </c>
      <c r="J40" s="13" t="inlineStr">
        <is>
          <t>Confirmed</t>
        </is>
      </c>
      <c r="K40" s="13" t="n">
        <v>5</v>
      </c>
      <c r="L40" s="13" t="inlineStr">
        <is>
          <t>Regular cycle</t>
        </is>
      </c>
    </row>
    <row r="41" ht="15" customHeight="1" s="11">
      <c r="A41" s="14" t="n">
        <v>40</v>
      </c>
      <c r="B41" s="14" t="inlineStr">
        <is>
          <t>COW014</t>
        </is>
      </c>
      <c r="C41" s="14" t="inlineStr">
        <is>
          <t>RFID100014</t>
        </is>
      </c>
      <c r="D41" s="14" t="inlineStr">
        <is>
          <t>2024-01-03</t>
        </is>
      </c>
      <c r="E41" s="14" t="inlineStr">
        <is>
          <t>Yes</t>
        </is>
      </c>
      <c r="F41" s="14" t="n">
        <v>22</v>
      </c>
      <c r="G41" s="14" t="inlineStr">
        <is>
          <t>2024-01-25</t>
        </is>
      </c>
      <c r="H41" s="14" t="n">
        <v>-128</v>
      </c>
      <c r="I41" s="14" t="inlineStr">
        <is>
          <t>2024-01-04</t>
        </is>
      </c>
      <c r="J41" s="14" t="inlineStr">
        <is>
          <t>Confirmed</t>
        </is>
      </c>
      <c r="K41" s="14" t="n">
        <v>1</v>
      </c>
      <c r="L41" s="14" t="inlineStr">
        <is>
          <t>Regular cycle</t>
        </is>
      </c>
    </row>
    <row r="42" ht="15" customHeight="1" s="11">
      <c r="A42" s="13" t="n">
        <v>41</v>
      </c>
      <c r="B42" s="13" t="inlineStr">
        <is>
          <t>COW014</t>
        </is>
      </c>
      <c r="C42" s="13" t="inlineStr">
        <is>
          <t>RFID100014</t>
        </is>
      </c>
      <c r="D42" s="13" t="inlineStr">
        <is>
          <t>2024-01-22</t>
        </is>
      </c>
      <c r="E42" s="13" t="inlineStr">
        <is>
          <t>Yes</t>
        </is>
      </c>
      <c r="F42" s="13" t="n">
        <v>22</v>
      </c>
      <c r="G42" s="13" t="inlineStr">
        <is>
          <t>2024-02-13</t>
        </is>
      </c>
      <c r="H42" s="13" t="n">
        <v>-109</v>
      </c>
      <c r="I42" s="13" t="inlineStr">
        <is>
          <t>2024-01-22</t>
        </is>
      </c>
      <c r="J42" s="13" t="inlineStr">
        <is>
          <t>Pending</t>
        </is>
      </c>
      <c r="K42" s="13" t="n">
        <v>3</v>
      </c>
      <c r="L42" s="13" t="inlineStr">
        <is>
          <t>Regular cycle</t>
        </is>
      </c>
    </row>
    <row r="43" ht="15" customHeight="1" s="11">
      <c r="A43" s="14" t="n">
        <v>42</v>
      </c>
      <c r="B43" s="14" t="inlineStr">
        <is>
          <t>COW014</t>
        </is>
      </c>
      <c r="C43" s="14" t="inlineStr">
        <is>
          <t>RFID100014</t>
        </is>
      </c>
      <c r="D43" s="14" t="inlineStr">
        <is>
          <t>2024-02-13</t>
        </is>
      </c>
      <c r="E43" s="14" t="inlineStr">
        <is>
          <t>Yes</t>
        </is>
      </c>
      <c r="F43" s="14" t="n">
        <v>18</v>
      </c>
      <c r="G43" s="14" t="inlineStr">
        <is>
          <t>2024-03-02</t>
        </is>
      </c>
      <c r="H43" s="14" t="n">
        <v>-91</v>
      </c>
      <c r="I43" s="14" t="inlineStr">
        <is>
          <t>2024-02-14</t>
        </is>
      </c>
      <c r="J43" s="14" t="inlineStr">
        <is>
          <t>Confirmed</t>
        </is>
      </c>
      <c r="K43" s="14" t="n">
        <v>1</v>
      </c>
      <c r="L43" s="14" t="inlineStr">
        <is>
          <t>Regular cycle</t>
        </is>
      </c>
    </row>
    <row r="44" ht="15" customHeight="1" s="11">
      <c r="A44" s="13" t="n">
        <v>43</v>
      </c>
      <c r="B44" s="13" t="inlineStr">
        <is>
          <t>COW015</t>
        </is>
      </c>
      <c r="C44" s="13" t="inlineStr">
        <is>
          <t>RFID100015</t>
        </is>
      </c>
      <c r="D44" s="13" t="inlineStr">
        <is>
          <t>2024-01-03</t>
        </is>
      </c>
      <c r="E44" s="13" t="inlineStr">
        <is>
          <t>Yes</t>
        </is>
      </c>
      <c r="F44" s="13" t="n">
        <v>19</v>
      </c>
      <c r="G44" s="13" t="inlineStr">
        <is>
          <t>2024-01-22</t>
        </is>
      </c>
      <c r="H44" s="13" t="n">
        <v>-131</v>
      </c>
      <c r="I44" s="13" t="inlineStr">
        <is>
          <t>2024-01-03</t>
        </is>
      </c>
      <c r="J44" s="13" t="inlineStr">
        <is>
          <t>Pending</t>
        </is>
      </c>
      <c r="K44" s="13" t="n">
        <v>2</v>
      </c>
      <c r="L44" s="13" t="inlineStr">
        <is>
          <t>Regular cycle</t>
        </is>
      </c>
    </row>
    <row r="45" ht="15" customHeight="1" s="11">
      <c r="A45" s="14" t="n">
        <v>44</v>
      </c>
      <c r="B45" s="14" t="inlineStr">
        <is>
          <t>COW015</t>
        </is>
      </c>
      <c r="C45" s="14" t="inlineStr">
        <is>
          <t>RFID100015</t>
        </is>
      </c>
      <c r="D45" s="14" t="inlineStr">
        <is>
          <t>2024-01-21</t>
        </is>
      </c>
      <c r="E45" s="14" t="inlineStr">
        <is>
          <t>Yes</t>
        </is>
      </c>
      <c r="F45" s="14" t="n">
        <v>20</v>
      </c>
      <c r="G45" s="14" t="inlineStr">
        <is>
          <t>2024-02-10</t>
        </is>
      </c>
      <c r="H45" s="14" t="n">
        <v>-112</v>
      </c>
      <c r="I45" s="14" t="inlineStr">
        <is>
          <t>2024-01-22</t>
        </is>
      </c>
      <c r="J45" s="14" t="inlineStr">
        <is>
          <t>Confirmed</t>
        </is>
      </c>
      <c r="K45" s="14" t="n">
        <v>2</v>
      </c>
      <c r="L45" s="14" t="inlineStr">
        <is>
          <t>Regular cycle</t>
        </is>
      </c>
    </row>
    <row r="46" ht="15" customHeight="1" s="11">
      <c r="A46" s="13" t="n">
        <v>45</v>
      </c>
      <c r="B46" s="13" t="inlineStr">
        <is>
          <t>COW015</t>
        </is>
      </c>
      <c r="C46" s="13" t="inlineStr">
        <is>
          <t>RFID100015</t>
        </is>
      </c>
      <c r="D46" s="13" t="inlineStr">
        <is>
          <t>2024-02-10</t>
        </is>
      </c>
      <c r="E46" s="13" t="inlineStr">
        <is>
          <t>Yes</t>
        </is>
      </c>
      <c r="F46" s="13" t="n">
        <v>19</v>
      </c>
      <c r="G46" s="13" t="inlineStr">
        <is>
          <t>2024-02-29</t>
        </is>
      </c>
      <c r="H46" s="13" t="n">
        <v>-93</v>
      </c>
      <c r="I46" s="13" t="inlineStr">
        <is>
          <t>2024-02-11</t>
        </is>
      </c>
      <c r="J46" s="13" t="inlineStr">
        <is>
          <t>Confirmed</t>
        </is>
      </c>
      <c r="K46" s="13" t="n">
        <v>3</v>
      </c>
      <c r="L46" s="13" t="inlineStr">
        <is>
          <t>Regular cycle</t>
        </is>
      </c>
    </row>
    <row r="47" ht="15" customHeight="1" s="11">
      <c r="A47" s="14" t="n">
        <v>46</v>
      </c>
      <c r="B47" s="14" t="inlineStr">
        <is>
          <t>COW016</t>
        </is>
      </c>
      <c r="C47" s="14" t="inlineStr">
        <is>
          <t>RFID100016</t>
        </is>
      </c>
      <c r="D47" s="14" t="inlineStr">
        <is>
          <t>2024-01-02</t>
        </is>
      </c>
      <c r="E47" s="14" t="inlineStr">
        <is>
          <t>Yes</t>
        </is>
      </c>
      <c r="F47" s="14" t="n">
        <v>24</v>
      </c>
      <c r="G47" s="14" t="inlineStr">
        <is>
          <t>2024-01-26</t>
        </is>
      </c>
      <c r="H47" s="14" t="n">
        <v>-127</v>
      </c>
      <c r="I47" s="14" t="inlineStr">
        <is>
          <t>2024-01-02</t>
        </is>
      </c>
      <c r="J47" s="14" t="inlineStr">
        <is>
          <t>Confirmed</t>
        </is>
      </c>
      <c r="K47" s="14" t="n">
        <v>2</v>
      </c>
      <c r="L47" s="14" t="inlineStr">
        <is>
          <t>Regular cycle</t>
        </is>
      </c>
    </row>
    <row r="48" ht="15" customHeight="1" s="11">
      <c r="A48" s="13" t="n">
        <v>47</v>
      </c>
      <c r="B48" s="13" t="inlineStr">
        <is>
          <t>COW016</t>
        </is>
      </c>
      <c r="C48" s="13" t="inlineStr">
        <is>
          <t>RFID100016</t>
        </is>
      </c>
      <c r="D48" s="13" t="inlineStr">
        <is>
          <t>2024-01-23</t>
        </is>
      </c>
      <c r="E48" s="13" t="inlineStr">
        <is>
          <t>Yes</t>
        </is>
      </c>
      <c r="F48" s="13" t="n">
        <v>22</v>
      </c>
      <c r="G48" s="13" t="inlineStr">
        <is>
          <t>2024-02-14</t>
        </is>
      </c>
      <c r="H48" s="13" t="n">
        <v>-108</v>
      </c>
      <c r="I48" s="13" t="inlineStr">
        <is>
          <t>2024-01-23</t>
        </is>
      </c>
      <c r="J48" s="13" t="inlineStr">
        <is>
          <t>Confirmed</t>
        </is>
      </c>
      <c r="K48" s="13" t="n">
        <v>2</v>
      </c>
      <c r="L48" s="13" t="inlineStr">
        <is>
          <t>Regular cycle</t>
        </is>
      </c>
    </row>
    <row r="49" ht="15" customHeight="1" s="11">
      <c r="A49" s="14" t="n">
        <v>48</v>
      </c>
      <c r="B49" s="14" t="inlineStr">
        <is>
          <t>COW016</t>
        </is>
      </c>
      <c r="C49" s="14" t="inlineStr">
        <is>
          <t>RFID100016</t>
        </is>
      </c>
      <c r="D49" s="14" t="inlineStr">
        <is>
          <t>2024-02-12</t>
        </is>
      </c>
      <c r="E49" s="14" t="inlineStr">
        <is>
          <t>Yes</t>
        </is>
      </c>
      <c r="F49" s="14" t="n">
        <v>18</v>
      </c>
      <c r="G49" s="14" t="inlineStr">
        <is>
          <t>2024-03-01</t>
        </is>
      </c>
      <c r="H49" s="14" t="n">
        <v>-92</v>
      </c>
      <c r="I49" s="14" t="inlineStr">
        <is>
          <t>2024-02-13</t>
        </is>
      </c>
      <c r="J49" s="14" t="inlineStr">
        <is>
          <t>Confirmed</t>
        </is>
      </c>
      <c r="K49" s="14" t="n">
        <v>5</v>
      </c>
      <c r="L49" s="14" t="inlineStr">
        <is>
          <t>Regular cycle</t>
        </is>
      </c>
    </row>
    <row r="50" ht="15" customHeight="1" s="11">
      <c r="A50" s="13" t="n">
        <v>49</v>
      </c>
      <c r="B50" s="13" t="inlineStr">
        <is>
          <t>COW017</t>
        </is>
      </c>
      <c r="C50" s="13" t="inlineStr">
        <is>
          <t>RFID100017</t>
        </is>
      </c>
      <c r="D50" s="13" t="inlineStr">
        <is>
          <t>2024-01-02</t>
        </is>
      </c>
      <c r="E50" s="13" t="inlineStr">
        <is>
          <t>Yes</t>
        </is>
      </c>
      <c r="F50" s="13" t="n">
        <v>24</v>
      </c>
      <c r="G50" s="13" t="inlineStr">
        <is>
          <t>2024-01-26</t>
        </is>
      </c>
      <c r="H50" s="13" t="n">
        <v>-127</v>
      </c>
      <c r="I50" s="13" t="inlineStr">
        <is>
          <t>2024-01-03</t>
        </is>
      </c>
      <c r="J50" s="13" t="inlineStr">
        <is>
          <t>Confirmed</t>
        </is>
      </c>
      <c r="K50" s="13" t="n">
        <v>4</v>
      </c>
      <c r="L50" s="13" t="inlineStr">
        <is>
          <t>Regular cycle</t>
        </is>
      </c>
    </row>
    <row r="51" ht="15" customHeight="1" s="11">
      <c r="A51" s="14" t="n">
        <v>50</v>
      </c>
      <c r="B51" s="14" t="inlineStr">
        <is>
          <t>COW017</t>
        </is>
      </c>
      <c r="C51" s="14" t="inlineStr">
        <is>
          <t>RFID100017</t>
        </is>
      </c>
      <c r="D51" s="14" t="inlineStr">
        <is>
          <t>2024-01-24</t>
        </is>
      </c>
      <c r="E51" s="14" t="inlineStr">
        <is>
          <t>Yes</t>
        </is>
      </c>
      <c r="F51" s="14" t="n">
        <v>19</v>
      </c>
      <c r="G51" s="14" t="inlineStr">
        <is>
          <t>2024-02-12</t>
        </is>
      </c>
      <c r="H51" s="14" t="n">
        <v>-110</v>
      </c>
      <c r="I51" s="14" t="inlineStr">
        <is>
          <t>2024-01-25</t>
        </is>
      </c>
      <c r="J51" s="14" t="inlineStr">
        <is>
          <t>Confirmed</t>
        </is>
      </c>
      <c r="K51" s="14" t="n">
        <v>2</v>
      </c>
      <c r="L51" s="14" t="inlineStr">
        <is>
          <t>Regular cycle</t>
        </is>
      </c>
    </row>
    <row r="52" ht="15" customHeight="1" s="11">
      <c r="A52" s="13" t="n">
        <v>51</v>
      </c>
      <c r="B52" s="13" t="inlineStr">
        <is>
          <t>COW017</t>
        </is>
      </c>
      <c r="C52" s="13" t="inlineStr">
        <is>
          <t>RFID100017</t>
        </is>
      </c>
      <c r="D52" s="13" t="inlineStr">
        <is>
          <t>2024-02-13</t>
        </is>
      </c>
      <c r="E52" s="13" t="inlineStr">
        <is>
          <t>Yes</t>
        </is>
      </c>
      <c r="F52" s="13" t="n">
        <v>20</v>
      </c>
      <c r="G52" s="13" t="inlineStr">
        <is>
          <t>2024-03-04</t>
        </is>
      </c>
      <c r="H52" s="13" t="n">
        <v>-89</v>
      </c>
      <c r="I52" s="13" t="inlineStr">
        <is>
          <t>2024-02-13</t>
        </is>
      </c>
      <c r="J52" s="13" t="inlineStr">
        <is>
          <t>Not Attempted</t>
        </is>
      </c>
      <c r="K52" s="13" t="n">
        <v>3</v>
      </c>
      <c r="L52" s="13" t="inlineStr">
        <is>
          <t>Regular cycle</t>
        </is>
      </c>
    </row>
    <row r="53" ht="15" customHeight="1" s="11">
      <c r="A53" s="14" t="n">
        <v>52</v>
      </c>
      <c r="B53" s="14" t="inlineStr">
        <is>
          <t>COW018</t>
        </is>
      </c>
      <c r="C53" s="14" t="inlineStr">
        <is>
          <t>RFID100018</t>
        </is>
      </c>
      <c r="D53" s="14" t="inlineStr">
        <is>
          <t>2024-01-01</t>
        </is>
      </c>
      <c r="E53" s="14" t="inlineStr">
        <is>
          <t>Yes</t>
        </is>
      </c>
      <c r="F53" s="14" t="n">
        <v>23</v>
      </c>
      <c r="G53" s="14" t="inlineStr">
        <is>
          <t>2024-01-24</t>
        </is>
      </c>
      <c r="H53" s="14" t="n">
        <v>-129</v>
      </c>
      <c r="I53" s="14" t="inlineStr">
        <is>
          <t>2024-01-02</t>
        </is>
      </c>
      <c r="J53" s="14" t="inlineStr">
        <is>
          <t>Not Attempted</t>
        </is>
      </c>
      <c r="K53" s="14" t="n">
        <v>2</v>
      </c>
      <c r="L53" s="14" t="inlineStr">
        <is>
          <t>Regular cycle</t>
        </is>
      </c>
    </row>
    <row r="54" ht="15" customHeight="1" s="11">
      <c r="A54" s="13" t="n">
        <v>53</v>
      </c>
      <c r="B54" s="13" t="inlineStr">
        <is>
          <t>COW018</t>
        </is>
      </c>
      <c r="C54" s="13" t="inlineStr">
        <is>
          <t>RFID100018</t>
        </is>
      </c>
      <c r="D54" s="13" t="inlineStr">
        <is>
          <t>2024-01-22</t>
        </is>
      </c>
      <c r="E54" s="13" t="inlineStr">
        <is>
          <t>Yes</t>
        </is>
      </c>
      <c r="F54" s="13" t="n">
        <v>21</v>
      </c>
      <c r="G54" s="13" t="inlineStr">
        <is>
          <t>2024-02-12</t>
        </is>
      </c>
      <c r="H54" s="13" t="n">
        <v>-110</v>
      </c>
      <c r="I54" s="13" t="inlineStr">
        <is>
          <t>2024-01-23</t>
        </is>
      </c>
      <c r="J54" s="13" t="inlineStr">
        <is>
          <t>Failed</t>
        </is>
      </c>
      <c r="K54" s="13" t="n">
        <v>4</v>
      </c>
      <c r="L54" s="13" t="inlineStr">
        <is>
          <t>Regular cycle</t>
        </is>
      </c>
    </row>
    <row r="55" ht="15" customHeight="1" s="11">
      <c r="A55" s="14" t="n">
        <v>54</v>
      </c>
      <c r="B55" s="14" t="inlineStr">
        <is>
          <t>COW018</t>
        </is>
      </c>
      <c r="C55" s="14" t="inlineStr">
        <is>
          <t>RFID100018</t>
        </is>
      </c>
      <c r="D55" s="14" t="inlineStr">
        <is>
          <t>2024-02-12</t>
        </is>
      </c>
      <c r="E55" s="14" t="inlineStr">
        <is>
          <t>Yes</t>
        </is>
      </c>
      <c r="F55" s="14" t="n">
        <v>18</v>
      </c>
      <c r="G55" s="14" t="inlineStr">
        <is>
          <t>2024-03-01</t>
        </is>
      </c>
      <c r="H55" s="14" t="n">
        <v>-92</v>
      </c>
      <c r="I55" s="14" t="inlineStr">
        <is>
          <t>2024-02-12</t>
        </is>
      </c>
      <c r="J55" s="14" t="inlineStr">
        <is>
          <t>Pending</t>
        </is>
      </c>
      <c r="K55" s="14" t="n">
        <v>5</v>
      </c>
      <c r="L55" s="14" t="inlineStr">
        <is>
          <t>Regular cycle</t>
        </is>
      </c>
    </row>
    <row r="56" ht="15" customHeight="1" s="11">
      <c r="A56" s="13" t="n">
        <v>55</v>
      </c>
      <c r="B56" s="13" t="inlineStr">
        <is>
          <t>COW019</t>
        </is>
      </c>
      <c r="C56" s="13" t="inlineStr">
        <is>
          <t>RFID100019</t>
        </is>
      </c>
      <c r="D56" s="13" t="inlineStr">
        <is>
          <t>2023-12-31</t>
        </is>
      </c>
      <c r="E56" s="13" t="inlineStr">
        <is>
          <t>Yes</t>
        </is>
      </c>
      <c r="F56" s="13" t="n">
        <v>23</v>
      </c>
      <c r="G56" s="13" t="inlineStr">
        <is>
          <t>2024-01-23</t>
        </is>
      </c>
      <c r="H56" s="13" t="n">
        <v>-130</v>
      </c>
      <c r="I56" s="13" t="inlineStr">
        <is>
          <t>2023-12-31</t>
        </is>
      </c>
      <c r="J56" s="13" t="inlineStr">
        <is>
          <t>Not Attempted</t>
        </is>
      </c>
      <c r="K56" s="13" t="n">
        <v>4</v>
      </c>
      <c r="L56" s="13" t="inlineStr">
        <is>
          <t>Regular cycle</t>
        </is>
      </c>
    </row>
    <row r="57" ht="15" customHeight="1" s="11">
      <c r="A57" s="14" t="n">
        <v>56</v>
      </c>
      <c r="B57" s="14" t="inlineStr">
        <is>
          <t>COW019</t>
        </is>
      </c>
      <c r="C57" s="14" t="inlineStr">
        <is>
          <t>RFID100019</t>
        </is>
      </c>
      <c r="D57" s="14" t="inlineStr">
        <is>
          <t>2024-01-21</t>
        </is>
      </c>
      <c r="E57" s="14" t="inlineStr">
        <is>
          <t>Yes</t>
        </is>
      </c>
      <c r="F57" s="14" t="n">
        <v>21</v>
      </c>
      <c r="G57" s="14" t="inlineStr">
        <is>
          <t>2024-02-11</t>
        </is>
      </c>
      <c r="H57" s="14" t="n">
        <v>-111</v>
      </c>
      <c r="I57" s="14" t="inlineStr">
        <is>
          <t>2024-01-22</t>
        </is>
      </c>
      <c r="J57" s="14" t="inlineStr">
        <is>
          <t>Failed</t>
        </is>
      </c>
      <c r="K57" s="14" t="n">
        <v>1</v>
      </c>
      <c r="L57" s="14" t="inlineStr">
        <is>
          <t>Regular cycle</t>
        </is>
      </c>
    </row>
    <row r="58" ht="15" customHeight="1" s="11">
      <c r="A58" s="13" t="n">
        <v>57</v>
      </c>
      <c r="B58" s="13" t="inlineStr">
        <is>
          <t>COW019</t>
        </is>
      </c>
      <c r="C58" s="13" t="inlineStr">
        <is>
          <t>RFID100019</t>
        </is>
      </c>
      <c r="D58" s="13" t="inlineStr">
        <is>
          <t>2024-02-13</t>
        </is>
      </c>
      <c r="E58" s="13" t="inlineStr">
        <is>
          <t>Yes</t>
        </is>
      </c>
      <c r="F58" s="13" t="n">
        <v>23</v>
      </c>
      <c r="G58" s="13" t="inlineStr">
        <is>
          <t>2024-03-07</t>
        </is>
      </c>
      <c r="H58" s="13" t="n">
        <v>-86</v>
      </c>
      <c r="I58" s="13" t="inlineStr">
        <is>
          <t>2024-02-14</t>
        </is>
      </c>
      <c r="J58" s="13" t="inlineStr">
        <is>
          <t>Confirmed</t>
        </is>
      </c>
      <c r="K58" s="13" t="n">
        <v>3</v>
      </c>
      <c r="L58" s="13" t="inlineStr">
        <is>
          <t>Regular cycle</t>
        </is>
      </c>
    </row>
    <row r="59" ht="15" customHeight="1" s="11">
      <c r="A59" s="14" t="n">
        <v>58</v>
      </c>
      <c r="B59" s="14" t="inlineStr">
        <is>
          <t>COW020</t>
        </is>
      </c>
      <c r="C59" s="14" t="inlineStr">
        <is>
          <t>RFID100020</t>
        </is>
      </c>
      <c r="D59" s="14" t="inlineStr">
        <is>
          <t>2023-12-31</t>
        </is>
      </c>
      <c r="E59" s="14" t="inlineStr">
        <is>
          <t>Yes</t>
        </is>
      </c>
      <c r="F59" s="14" t="n">
        <v>20</v>
      </c>
      <c r="G59" s="14" t="inlineStr">
        <is>
          <t>2024-01-20</t>
        </is>
      </c>
      <c r="H59" s="14" t="n">
        <v>-133</v>
      </c>
      <c r="I59" s="14" t="inlineStr">
        <is>
          <t>2023-12-31</t>
        </is>
      </c>
      <c r="J59" s="14" t="inlineStr">
        <is>
          <t>Failed</t>
        </is>
      </c>
      <c r="K59" s="14" t="n">
        <v>4</v>
      </c>
      <c r="L59" s="14" t="inlineStr">
        <is>
          <t>Regular cycle</t>
        </is>
      </c>
    </row>
    <row r="60" ht="15" customHeight="1" s="11">
      <c r="A60" s="13" t="n">
        <v>59</v>
      </c>
      <c r="B60" s="13" t="inlineStr">
        <is>
          <t>COW020</t>
        </is>
      </c>
      <c r="C60" s="13" t="inlineStr">
        <is>
          <t>RFID100020</t>
        </is>
      </c>
      <c r="D60" s="13" t="inlineStr">
        <is>
          <t>2024-01-20</t>
        </is>
      </c>
      <c r="E60" s="13" t="inlineStr">
        <is>
          <t>Yes</t>
        </is>
      </c>
      <c r="F60" s="13" t="n">
        <v>21</v>
      </c>
      <c r="G60" s="13" t="inlineStr">
        <is>
          <t>2024-02-10</t>
        </is>
      </c>
      <c r="H60" s="13" t="n">
        <v>-112</v>
      </c>
      <c r="I60" s="13" t="inlineStr">
        <is>
          <t>2024-01-21</t>
        </is>
      </c>
      <c r="J60" s="13" t="inlineStr">
        <is>
          <t>Pending</t>
        </is>
      </c>
      <c r="K60" s="13" t="n">
        <v>5</v>
      </c>
      <c r="L60" s="13" t="inlineStr">
        <is>
          <t>Regular cycle</t>
        </is>
      </c>
    </row>
    <row r="61" ht="15" customHeight="1" s="11">
      <c r="A61" s="14" t="n">
        <v>60</v>
      </c>
      <c r="B61" s="14" t="inlineStr">
        <is>
          <t>COW020</t>
        </is>
      </c>
      <c r="C61" s="14" t="inlineStr">
        <is>
          <t>RFID100020</t>
        </is>
      </c>
      <c r="D61" s="14" t="inlineStr">
        <is>
          <t>2024-02-14</t>
        </is>
      </c>
      <c r="E61" s="14" t="inlineStr">
        <is>
          <t>Yes</t>
        </is>
      </c>
      <c r="F61" s="14" t="n">
        <v>24</v>
      </c>
      <c r="G61" s="14" t="inlineStr">
        <is>
          <t>2024-03-09</t>
        </is>
      </c>
      <c r="H61" s="14" t="n">
        <v>-84</v>
      </c>
      <c r="I61" s="14" t="inlineStr">
        <is>
          <t>2024-02-15</t>
        </is>
      </c>
      <c r="J61" s="14" t="inlineStr">
        <is>
          <t>Pending</t>
        </is>
      </c>
      <c r="K61" s="14" t="n">
        <v>3</v>
      </c>
      <c r="L61" s="14" t="inlineStr">
        <is>
          <t>Regular cycle</t>
        </is>
      </c>
    </row>
    <row r="62" ht="15" customHeight="1" s="11">
      <c r="A62" s="13" t="n">
        <v>61</v>
      </c>
      <c r="B62" s="13" t="inlineStr">
        <is>
          <t>COW021</t>
        </is>
      </c>
      <c r="C62" s="13" t="inlineStr">
        <is>
          <t>RFID100021</t>
        </is>
      </c>
      <c r="D62" s="13" t="inlineStr">
        <is>
          <t>2024-01-03</t>
        </is>
      </c>
      <c r="E62" s="13" t="inlineStr">
        <is>
          <t>Yes</t>
        </is>
      </c>
      <c r="F62" s="13" t="n">
        <v>22</v>
      </c>
      <c r="G62" s="13" t="inlineStr">
        <is>
          <t>2024-01-25</t>
        </is>
      </c>
      <c r="H62" s="13" t="n">
        <v>-128</v>
      </c>
      <c r="I62" s="13" t="inlineStr">
        <is>
          <t>2024-01-03</t>
        </is>
      </c>
      <c r="J62" s="13" t="inlineStr">
        <is>
          <t>Confirmed</t>
        </is>
      </c>
      <c r="K62" s="13" t="n">
        <v>2</v>
      </c>
      <c r="L62" s="13" t="inlineStr">
        <is>
          <t>Regular cycle</t>
        </is>
      </c>
    </row>
    <row r="63" ht="15" customHeight="1" s="11">
      <c r="A63" s="14" t="n">
        <v>62</v>
      </c>
      <c r="B63" s="14" t="inlineStr">
        <is>
          <t>COW021</t>
        </is>
      </c>
      <c r="C63" s="14" t="inlineStr">
        <is>
          <t>RFID100021</t>
        </is>
      </c>
      <c r="D63" s="14" t="inlineStr">
        <is>
          <t>2024-01-22</t>
        </is>
      </c>
      <c r="E63" s="14" t="inlineStr">
        <is>
          <t>Yes</t>
        </is>
      </c>
      <c r="F63" s="14" t="n">
        <v>19</v>
      </c>
      <c r="G63" s="14" t="inlineStr">
        <is>
          <t>2024-02-10</t>
        </is>
      </c>
      <c r="H63" s="14" t="n">
        <v>-112</v>
      </c>
      <c r="I63" s="14" t="inlineStr">
        <is>
          <t>2024-01-22</t>
        </is>
      </c>
      <c r="J63" s="14" t="inlineStr">
        <is>
          <t>Pending</t>
        </is>
      </c>
      <c r="K63" s="14" t="n">
        <v>4</v>
      </c>
      <c r="L63" s="14" t="inlineStr">
        <is>
          <t>Regular cycle</t>
        </is>
      </c>
    </row>
    <row r="64" ht="15" customHeight="1" s="11">
      <c r="A64" s="13" t="n">
        <v>63</v>
      </c>
      <c r="B64" s="13" t="inlineStr">
        <is>
          <t>COW021</t>
        </is>
      </c>
      <c r="C64" s="13" t="inlineStr">
        <is>
          <t>RFID100021</t>
        </is>
      </c>
      <c r="D64" s="13" t="inlineStr">
        <is>
          <t>2024-02-12</t>
        </is>
      </c>
      <c r="E64" s="13" t="inlineStr">
        <is>
          <t>Yes</t>
        </is>
      </c>
      <c r="F64" s="13" t="n">
        <v>24</v>
      </c>
      <c r="G64" s="13" t="inlineStr">
        <is>
          <t>2024-03-07</t>
        </is>
      </c>
      <c r="H64" s="13" t="n">
        <v>-86</v>
      </c>
      <c r="I64" s="13" t="inlineStr">
        <is>
          <t>2024-02-13</t>
        </is>
      </c>
      <c r="J64" s="13" t="inlineStr">
        <is>
          <t>Confirmed</t>
        </is>
      </c>
      <c r="K64" s="13" t="n">
        <v>1</v>
      </c>
      <c r="L64" s="13" t="inlineStr">
        <is>
          <t>Regular cycle</t>
        </is>
      </c>
    </row>
    <row r="65" ht="15" customHeight="1" s="11">
      <c r="A65" s="14" t="n">
        <v>64</v>
      </c>
      <c r="B65" s="14" t="inlineStr">
        <is>
          <t>COW022</t>
        </is>
      </c>
      <c r="C65" s="14" t="inlineStr">
        <is>
          <t>RFID100022</t>
        </is>
      </c>
      <c r="D65" s="14" t="inlineStr">
        <is>
          <t>2024-01-01</t>
        </is>
      </c>
      <c r="E65" s="14" t="inlineStr">
        <is>
          <t>Yes</t>
        </is>
      </c>
      <c r="F65" s="14" t="n">
        <v>19</v>
      </c>
      <c r="G65" s="14" t="inlineStr">
        <is>
          <t>2024-01-20</t>
        </is>
      </c>
      <c r="H65" s="14" t="n">
        <v>-133</v>
      </c>
      <c r="I65" s="14" t="inlineStr">
        <is>
          <t>2024-01-01</t>
        </is>
      </c>
      <c r="J65" s="14" t="inlineStr">
        <is>
          <t>Confirmed</t>
        </is>
      </c>
      <c r="K65" s="14" t="n">
        <v>4</v>
      </c>
      <c r="L65" s="14" t="inlineStr">
        <is>
          <t>Regular cycle</t>
        </is>
      </c>
    </row>
    <row r="66" ht="15" customHeight="1" s="11">
      <c r="A66" s="13" t="n">
        <v>65</v>
      </c>
      <c r="B66" s="13" t="inlineStr">
        <is>
          <t>COW022</t>
        </is>
      </c>
      <c r="C66" s="13" t="inlineStr">
        <is>
          <t>RFID100022</t>
        </is>
      </c>
      <c r="D66" s="13" t="inlineStr">
        <is>
          <t>2024-01-23</t>
        </is>
      </c>
      <c r="E66" s="13" t="inlineStr">
        <is>
          <t>Yes</t>
        </is>
      </c>
      <c r="F66" s="13" t="n">
        <v>24</v>
      </c>
      <c r="G66" s="13" t="inlineStr">
        <is>
          <t>2024-02-16</t>
        </is>
      </c>
      <c r="H66" s="13" t="n">
        <v>-106</v>
      </c>
      <c r="I66" s="13" t="inlineStr">
        <is>
          <t>2024-01-23</t>
        </is>
      </c>
      <c r="J66" s="13" t="inlineStr">
        <is>
          <t>Confirmed</t>
        </is>
      </c>
      <c r="K66" s="13" t="n">
        <v>1</v>
      </c>
      <c r="L66" s="13" t="inlineStr">
        <is>
          <t>Regular cycle</t>
        </is>
      </c>
    </row>
    <row r="67" ht="15" customHeight="1" s="11">
      <c r="A67" s="14" t="n">
        <v>66</v>
      </c>
      <c r="B67" s="14" t="inlineStr">
        <is>
          <t>COW022</t>
        </is>
      </c>
      <c r="C67" s="14" t="inlineStr">
        <is>
          <t>RFID100022</t>
        </is>
      </c>
      <c r="D67" s="14" t="inlineStr">
        <is>
          <t>2024-02-13</t>
        </is>
      </c>
      <c r="E67" s="14" t="inlineStr">
        <is>
          <t>Yes</t>
        </is>
      </c>
      <c r="F67" s="14" t="n">
        <v>18</v>
      </c>
      <c r="G67" s="14" t="inlineStr">
        <is>
          <t>2024-03-02</t>
        </is>
      </c>
      <c r="H67" s="14" t="n">
        <v>-91</v>
      </c>
      <c r="I67" s="14" t="inlineStr">
        <is>
          <t>2024-02-14</t>
        </is>
      </c>
      <c r="J67" s="14" t="inlineStr">
        <is>
          <t>Confirmed</t>
        </is>
      </c>
      <c r="K67" s="14" t="n">
        <v>1</v>
      </c>
      <c r="L67" s="14" t="inlineStr">
        <is>
          <t>Regular cycle</t>
        </is>
      </c>
    </row>
    <row r="68" ht="15" customHeight="1" s="11">
      <c r="A68" s="13" t="n">
        <v>67</v>
      </c>
      <c r="B68" s="13" t="inlineStr">
        <is>
          <t>COW023</t>
        </is>
      </c>
      <c r="C68" s="13" t="inlineStr">
        <is>
          <t>RFID100023</t>
        </is>
      </c>
      <c r="D68" s="13" t="inlineStr">
        <is>
          <t>2023-12-30</t>
        </is>
      </c>
      <c r="E68" s="13" t="inlineStr">
        <is>
          <t>Yes</t>
        </is>
      </c>
      <c r="F68" s="13" t="n">
        <v>24</v>
      </c>
      <c r="G68" s="13" t="inlineStr">
        <is>
          <t>2024-01-23</t>
        </is>
      </c>
      <c r="H68" s="13" t="n">
        <v>-130</v>
      </c>
      <c r="I68" s="13" t="inlineStr">
        <is>
          <t>2023-12-30</t>
        </is>
      </c>
      <c r="J68" s="13" t="inlineStr">
        <is>
          <t>Confirmed</t>
        </is>
      </c>
      <c r="K68" s="13" t="n">
        <v>3</v>
      </c>
      <c r="L68" s="13" t="inlineStr">
        <is>
          <t>Regular cycle</t>
        </is>
      </c>
    </row>
    <row r="69" ht="15" customHeight="1" s="11">
      <c r="A69" s="14" t="n">
        <v>68</v>
      </c>
      <c r="B69" s="14" t="inlineStr">
        <is>
          <t>COW023</t>
        </is>
      </c>
      <c r="C69" s="14" t="inlineStr">
        <is>
          <t>RFID100023</t>
        </is>
      </c>
      <c r="D69" s="14" t="inlineStr">
        <is>
          <t>2024-01-23</t>
        </is>
      </c>
      <c r="E69" s="14" t="inlineStr">
        <is>
          <t>Yes</t>
        </is>
      </c>
      <c r="F69" s="14" t="n">
        <v>24</v>
      </c>
      <c r="G69" s="14" t="inlineStr">
        <is>
          <t>2024-02-16</t>
        </is>
      </c>
      <c r="H69" s="14" t="n">
        <v>-106</v>
      </c>
      <c r="I69" s="14" t="inlineStr">
        <is>
          <t>2024-01-23</t>
        </is>
      </c>
      <c r="J69" s="14" t="inlineStr">
        <is>
          <t>Pending</t>
        </is>
      </c>
      <c r="K69" s="14" t="n">
        <v>3</v>
      </c>
      <c r="L69" s="14" t="inlineStr">
        <is>
          <t>Regular cycle</t>
        </is>
      </c>
    </row>
    <row r="70" ht="15" customHeight="1" s="11">
      <c r="A70" s="13" t="n">
        <v>69</v>
      </c>
      <c r="B70" s="13" t="inlineStr">
        <is>
          <t>COW023</t>
        </is>
      </c>
      <c r="C70" s="13" t="inlineStr">
        <is>
          <t>RFID100023</t>
        </is>
      </c>
      <c r="D70" s="13" t="inlineStr">
        <is>
          <t>2024-02-13</t>
        </is>
      </c>
      <c r="E70" s="13" t="inlineStr">
        <is>
          <t>Yes</t>
        </is>
      </c>
      <c r="F70" s="13" t="n">
        <v>18</v>
      </c>
      <c r="G70" s="13" t="inlineStr">
        <is>
          <t>2024-03-02</t>
        </is>
      </c>
      <c r="H70" s="13" t="n">
        <v>-91</v>
      </c>
      <c r="I70" s="13" t="inlineStr">
        <is>
          <t>2024-02-14</t>
        </is>
      </c>
      <c r="J70" s="13" t="inlineStr">
        <is>
          <t>Failed</t>
        </is>
      </c>
      <c r="K70" s="13" t="n">
        <v>4</v>
      </c>
      <c r="L70" s="13" t="inlineStr">
        <is>
          <t>Regular cycle</t>
        </is>
      </c>
    </row>
    <row r="71" ht="15" customHeight="1" s="11">
      <c r="A71" s="14" t="n">
        <v>70</v>
      </c>
      <c r="B71" s="14" t="inlineStr">
        <is>
          <t>COW024</t>
        </is>
      </c>
      <c r="C71" s="14" t="inlineStr">
        <is>
          <t>RFID100024</t>
        </is>
      </c>
      <c r="D71" s="14" t="inlineStr">
        <is>
          <t>2024-01-01</t>
        </is>
      </c>
      <c r="E71" s="14" t="inlineStr">
        <is>
          <t>Yes</t>
        </is>
      </c>
      <c r="F71" s="14" t="n">
        <v>18</v>
      </c>
      <c r="G71" s="14" t="inlineStr">
        <is>
          <t>2024-01-19</t>
        </is>
      </c>
      <c r="H71" s="14" t="n">
        <v>-134</v>
      </c>
      <c r="I71" s="14" t="inlineStr">
        <is>
          <t>2024-01-02</t>
        </is>
      </c>
      <c r="J71" s="14" t="inlineStr">
        <is>
          <t>Confirmed</t>
        </is>
      </c>
      <c r="K71" s="14" t="n">
        <v>1</v>
      </c>
      <c r="L71" s="14" t="inlineStr">
        <is>
          <t>Regular cycle</t>
        </is>
      </c>
    </row>
    <row r="72" ht="15" customHeight="1" s="11">
      <c r="A72" s="13" t="n">
        <v>71</v>
      </c>
      <c r="B72" s="13" t="inlineStr">
        <is>
          <t>COW024</t>
        </is>
      </c>
      <c r="C72" s="13" t="inlineStr">
        <is>
          <t>RFID100024</t>
        </is>
      </c>
      <c r="D72" s="13" t="inlineStr">
        <is>
          <t>2024-01-20</t>
        </is>
      </c>
      <c r="E72" s="13" t="inlineStr">
        <is>
          <t>Yes</t>
        </is>
      </c>
      <c r="F72" s="13" t="n">
        <v>24</v>
      </c>
      <c r="G72" s="13" t="inlineStr">
        <is>
          <t>2024-02-13</t>
        </is>
      </c>
      <c r="H72" s="13" t="n">
        <v>-109</v>
      </c>
      <c r="I72" s="13" t="inlineStr">
        <is>
          <t>2024-01-21</t>
        </is>
      </c>
      <c r="J72" s="13" t="inlineStr">
        <is>
          <t>Pending</t>
        </is>
      </c>
      <c r="K72" s="13" t="n">
        <v>2</v>
      </c>
      <c r="L72" s="13" t="inlineStr">
        <is>
          <t>Regular cycle</t>
        </is>
      </c>
    </row>
    <row r="73" ht="15" customHeight="1" s="11">
      <c r="A73" s="14" t="n">
        <v>72</v>
      </c>
      <c r="B73" s="14" t="inlineStr">
        <is>
          <t>COW024</t>
        </is>
      </c>
      <c r="C73" s="14" t="inlineStr">
        <is>
          <t>RFID100024</t>
        </is>
      </c>
      <c r="D73" s="14" t="inlineStr">
        <is>
          <t>2024-02-11</t>
        </is>
      </c>
      <c r="E73" s="14" t="inlineStr">
        <is>
          <t>Yes</t>
        </is>
      </c>
      <c r="F73" s="14" t="n">
        <v>22</v>
      </c>
      <c r="G73" s="14" t="inlineStr">
        <is>
          <t>2024-03-04</t>
        </is>
      </c>
      <c r="H73" s="14" t="n">
        <v>-89</v>
      </c>
      <c r="I73" s="14" t="inlineStr">
        <is>
          <t>2024-02-11</t>
        </is>
      </c>
      <c r="J73" s="14" t="inlineStr">
        <is>
          <t>Pending</t>
        </is>
      </c>
      <c r="K73" s="14" t="n">
        <v>3</v>
      </c>
      <c r="L73" s="14" t="inlineStr">
        <is>
          <t>Regular cycle</t>
        </is>
      </c>
    </row>
    <row r="74" ht="15" customHeight="1" s="11">
      <c r="A74" s="13" t="n">
        <v>73</v>
      </c>
      <c r="B74" s="13" t="inlineStr">
        <is>
          <t>COW025</t>
        </is>
      </c>
      <c r="C74" s="13" t="inlineStr">
        <is>
          <t>RFID100025</t>
        </is>
      </c>
      <c r="D74" s="13" t="inlineStr">
        <is>
          <t>2024-01-03</t>
        </is>
      </c>
      <c r="E74" s="13" t="inlineStr">
        <is>
          <t>Yes</t>
        </is>
      </c>
      <c r="F74" s="13" t="n">
        <v>21</v>
      </c>
      <c r="G74" s="13" t="inlineStr">
        <is>
          <t>2024-01-24</t>
        </is>
      </c>
      <c r="H74" s="13" t="n">
        <v>-129</v>
      </c>
      <c r="I74" s="13" t="inlineStr">
        <is>
          <t>2024-01-04</t>
        </is>
      </c>
      <c r="J74" s="13" t="inlineStr">
        <is>
          <t>Confirmed</t>
        </is>
      </c>
      <c r="K74" s="13" t="n">
        <v>4</v>
      </c>
      <c r="L74" s="13" t="inlineStr">
        <is>
          <t>Regular cycle</t>
        </is>
      </c>
    </row>
    <row r="75" ht="15" customHeight="1" s="11">
      <c r="A75" s="14" t="n">
        <v>74</v>
      </c>
      <c r="B75" s="14" t="inlineStr">
        <is>
          <t>COW025</t>
        </is>
      </c>
      <c r="C75" s="14" t="inlineStr">
        <is>
          <t>RFID100025</t>
        </is>
      </c>
      <c r="D75" s="14" t="inlineStr">
        <is>
          <t>2024-01-21</t>
        </is>
      </c>
      <c r="E75" s="14" t="inlineStr">
        <is>
          <t>Yes</t>
        </is>
      </c>
      <c r="F75" s="14" t="n">
        <v>19</v>
      </c>
      <c r="G75" s="14" t="inlineStr">
        <is>
          <t>2024-02-09</t>
        </is>
      </c>
      <c r="H75" s="14" t="n">
        <v>-113</v>
      </c>
      <c r="I75" s="14" t="inlineStr">
        <is>
          <t>2024-01-22</t>
        </is>
      </c>
      <c r="J75" s="14" t="inlineStr">
        <is>
          <t>Confirmed</t>
        </is>
      </c>
      <c r="K75" s="14" t="n">
        <v>5</v>
      </c>
      <c r="L75" s="14" t="inlineStr">
        <is>
          <t>Regular cycle</t>
        </is>
      </c>
    </row>
    <row r="76" ht="15" customHeight="1" s="11">
      <c r="A76" s="13" t="n">
        <v>75</v>
      </c>
      <c r="B76" s="13" t="inlineStr">
        <is>
          <t>COW025</t>
        </is>
      </c>
      <c r="C76" s="13" t="inlineStr">
        <is>
          <t>RFID100025</t>
        </is>
      </c>
      <c r="D76" s="13" t="inlineStr">
        <is>
          <t>2024-02-11</t>
        </is>
      </c>
      <c r="E76" s="13" t="inlineStr">
        <is>
          <t>Yes</t>
        </is>
      </c>
      <c r="F76" s="13" t="n">
        <v>21</v>
      </c>
      <c r="G76" s="13" t="inlineStr">
        <is>
          <t>2024-03-03</t>
        </is>
      </c>
      <c r="H76" s="13" t="n">
        <v>-90</v>
      </c>
      <c r="I76" s="13" t="inlineStr">
        <is>
          <t>2024-02-12</t>
        </is>
      </c>
      <c r="J76" s="13" t="inlineStr">
        <is>
          <t>Confirmed</t>
        </is>
      </c>
      <c r="K76" s="13" t="n">
        <v>2</v>
      </c>
      <c r="L76" s="13" t="inlineStr">
        <is>
          <t>Regular cycle</t>
        </is>
      </c>
    </row>
    <row r="77" ht="15" customHeight="1" s="11">
      <c r="A77" s="14" t="n">
        <v>76</v>
      </c>
      <c r="B77" s="14" t="inlineStr">
        <is>
          <t>COW026</t>
        </is>
      </c>
      <c r="C77" s="14" t="inlineStr">
        <is>
          <t>RFID100026</t>
        </is>
      </c>
      <c r="D77" s="14" t="inlineStr">
        <is>
          <t>2023-12-31</t>
        </is>
      </c>
      <c r="E77" s="14" t="inlineStr">
        <is>
          <t>Yes</t>
        </is>
      </c>
      <c r="F77" s="14" t="n">
        <v>20</v>
      </c>
      <c r="G77" s="14" t="inlineStr">
        <is>
          <t>2024-01-20</t>
        </is>
      </c>
      <c r="H77" s="14" t="n">
        <v>-133</v>
      </c>
      <c r="I77" s="14" t="inlineStr">
        <is>
          <t>2023-12-31</t>
        </is>
      </c>
      <c r="J77" s="14" t="inlineStr">
        <is>
          <t>Pending</t>
        </is>
      </c>
      <c r="K77" s="14" t="n">
        <v>5</v>
      </c>
      <c r="L77" s="14" t="inlineStr">
        <is>
          <t>Regular cycle</t>
        </is>
      </c>
    </row>
    <row r="78" ht="15" customHeight="1" s="11">
      <c r="A78" s="13" t="n">
        <v>77</v>
      </c>
      <c r="B78" s="13" t="inlineStr">
        <is>
          <t>COW026</t>
        </is>
      </c>
      <c r="C78" s="13" t="inlineStr">
        <is>
          <t>RFID100026</t>
        </is>
      </c>
      <c r="D78" s="13" t="inlineStr">
        <is>
          <t>2024-01-21</t>
        </is>
      </c>
      <c r="E78" s="13" t="inlineStr">
        <is>
          <t>Yes</t>
        </is>
      </c>
      <c r="F78" s="13" t="n">
        <v>20</v>
      </c>
      <c r="G78" s="13" t="inlineStr">
        <is>
          <t>2024-02-10</t>
        </is>
      </c>
      <c r="H78" s="13" t="n">
        <v>-112</v>
      </c>
      <c r="I78" s="13" t="inlineStr">
        <is>
          <t>2024-01-22</t>
        </is>
      </c>
      <c r="J78" s="13" t="inlineStr">
        <is>
          <t>Confirmed</t>
        </is>
      </c>
      <c r="K78" s="13" t="n">
        <v>1</v>
      </c>
      <c r="L78" s="13" t="inlineStr">
        <is>
          <t>Regular cycle</t>
        </is>
      </c>
    </row>
    <row r="79" ht="15" customHeight="1" s="11">
      <c r="A79" s="14" t="n">
        <v>78</v>
      </c>
      <c r="B79" s="14" t="inlineStr">
        <is>
          <t>COW026</t>
        </is>
      </c>
      <c r="C79" s="14" t="inlineStr">
        <is>
          <t>RFID100026</t>
        </is>
      </c>
      <c r="D79" s="14" t="inlineStr">
        <is>
          <t>2024-02-12</t>
        </is>
      </c>
      <c r="E79" s="14" t="inlineStr">
        <is>
          <t>Yes</t>
        </is>
      </c>
      <c r="F79" s="14" t="n">
        <v>23</v>
      </c>
      <c r="G79" s="14" t="inlineStr">
        <is>
          <t>2024-03-06</t>
        </is>
      </c>
      <c r="H79" s="14" t="n">
        <v>-87</v>
      </c>
      <c r="I79" s="14" t="inlineStr">
        <is>
          <t>2024-02-13</t>
        </is>
      </c>
      <c r="J79" s="14" t="inlineStr">
        <is>
          <t>Pending</t>
        </is>
      </c>
      <c r="K79" s="14" t="n">
        <v>3</v>
      </c>
      <c r="L79" s="14" t="inlineStr">
        <is>
          <t>Regular cycle</t>
        </is>
      </c>
    </row>
    <row r="80" ht="15" customHeight="1" s="11">
      <c r="A80" s="13" t="n">
        <v>79</v>
      </c>
      <c r="B80" s="13" t="inlineStr">
        <is>
          <t>COW027</t>
        </is>
      </c>
      <c r="C80" s="13" t="inlineStr">
        <is>
          <t>RFID100027</t>
        </is>
      </c>
      <c r="D80" s="13" t="inlineStr">
        <is>
          <t>2024-01-03</t>
        </is>
      </c>
      <c r="E80" s="13" t="inlineStr">
        <is>
          <t>Yes</t>
        </is>
      </c>
      <c r="F80" s="13" t="n">
        <v>21</v>
      </c>
      <c r="G80" s="13" t="inlineStr">
        <is>
          <t>2024-01-24</t>
        </is>
      </c>
      <c r="H80" s="13" t="n">
        <v>-129</v>
      </c>
      <c r="I80" s="13" t="inlineStr">
        <is>
          <t>2024-01-04</t>
        </is>
      </c>
      <c r="J80" s="13" t="inlineStr">
        <is>
          <t>Pending</t>
        </is>
      </c>
      <c r="K80" s="13" t="n">
        <v>3</v>
      </c>
      <c r="L80" s="13" t="inlineStr">
        <is>
          <t>Regular cycle</t>
        </is>
      </c>
    </row>
    <row r="81" ht="15" customHeight="1" s="11">
      <c r="A81" s="14" t="n">
        <v>80</v>
      </c>
      <c r="B81" s="14" t="inlineStr">
        <is>
          <t>COW027</t>
        </is>
      </c>
      <c r="C81" s="14" t="inlineStr">
        <is>
          <t>RFID100027</t>
        </is>
      </c>
      <c r="D81" s="14" t="inlineStr">
        <is>
          <t>2024-01-22</t>
        </is>
      </c>
      <c r="E81" s="14" t="inlineStr">
        <is>
          <t>Yes</t>
        </is>
      </c>
      <c r="F81" s="14" t="n">
        <v>24</v>
      </c>
      <c r="G81" s="14" t="inlineStr">
        <is>
          <t>2024-02-15</t>
        </is>
      </c>
      <c r="H81" s="14" t="n">
        <v>-107</v>
      </c>
      <c r="I81" s="14" t="inlineStr">
        <is>
          <t>2024-01-23</t>
        </is>
      </c>
      <c r="J81" s="14" t="inlineStr">
        <is>
          <t>Pending</t>
        </is>
      </c>
      <c r="K81" s="14" t="n">
        <v>3</v>
      </c>
      <c r="L81" s="14" t="inlineStr">
        <is>
          <t>Regular cycle</t>
        </is>
      </c>
    </row>
    <row r="82" ht="15" customHeight="1" s="11">
      <c r="A82" s="13" t="n">
        <v>81</v>
      </c>
      <c r="B82" s="13" t="inlineStr">
        <is>
          <t>COW027</t>
        </is>
      </c>
      <c r="C82" s="13" t="inlineStr">
        <is>
          <t>RFID100027</t>
        </is>
      </c>
      <c r="D82" s="13" t="inlineStr">
        <is>
          <t>2024-02-14</t>
        </is>
      </c>
      <c r="E82" s="13" t="inlineStr">
        <is>
          <t>Yes</t>
        </is>
      </c>
      <c r="F82" s="13" t="n">
        <v>22</v>
      </c>
      <c r="G82" s="13" t="inlineStr">
        <is>
          <t>2024-03-07</t>
        </is>
      </c>
      <c r="H82" s="13" t="n">
        <v>-86</v>
      </c>
      <c r="I82" s="13" t="inlineStr">
        <is>
          <t>2024-02-14</t>
        </is>
      </c>
      <c r="J82" s="13" t="inlineStr">
        <is>
          <t>Pending</t>
        </is>
      </c>
      <c r="K82" s="13" t="n">
        <v>3</v>
      </c>
      <c r="L82" s="13" t="inlineStr">
        <is>
          <t>Regular cycle</t>
        </is>
      </c>
    </row>
    <row r="83" ht="15" customHeight="1" s="11">
      <c r="A83" s="14" t="n">
        <v>82</v>
      </c>
      <c r="B83" s="14" t="inlineStr">
        <is>
          <t>COW028</t>
        </is>
      </c>
      <c r="C83" s="14" t="inlineStr">
        <is>
          <t>RFID100028</t>
        </is>
      </c>
      <c r="D83" s="14" t="inlineStr">
        <is>
          <t>2023-12-30</t>
        </is>
      </c>
      <c r="E83" s="14" t="inlineStr">
        <is>
          <t>Yes</t>
        </is>
      </c>
      <c r="F83" s="14" t="n">
        <v>19</v>
      </c>
      <c r="G83" s="14" t="inlineStr">
        <is>
          <t>2024-01-18</t>
        </is>
      </c>
      <c r="H83" s="14" t="n">
        <v>-135</v>
      </c>
      <c r="I83" s="14" t="inlineStr">
        <is>
          <t>2023-12-31</t>
        </is>
      </c>
      <c r="J83" s="14" t="inlineStr">
        <is>
          <t>Confirmed</t>
        </is>
      </c>
      <c r="K83" s="14" t="n">
        <v>3</v>
      </c>
      <c r="L83" s="14" t="inlineStr">
        <is>
          <t>Regular cycle</t>
        </is>
      </c>
    </row>
    <row r="84" ht="15" customHeight="1" s="11">
      <c r="A84" s="13" t="n">
        <v>83</v>
      </c>
      <c r="B84" s="13" t="inlineStr">
        <is>
          <t>COW028</t>
        </is>
      </c>
      <c r="C84" s="13" t="inlineStr">
        <is>
          <t>RFID100028</t>
        </is>
      </c>
      <c r="D84" s="13" t="inlineStr">
        <is>
          <t>2024-01-21</t>
        </is>
      </c>
      <c r="E84" s="13" t="inlineStr">
        <is>
          <t>Yes</t>
        </is>
      </c>
      <c r="F84" s="13" t="n">
        <v>22</v>
      </c>
      <c r="G84" s="13" t="inlineStr">
        <is>
          <t>2024-02-12</t>
        </is>
      </c>
      <c r="H84" s="13" t="n">
        <v>-110</v>
      </c>
      <c r="I84" s="13" t="inlineStr">
        <is>
          <t>2024-01-22</t>
        </is>
      </c>
      <c r="J84" s="13" t="inlineStr">
        <is>
          <t>Confirmed</t>
        </is>
      </c>
      <c r="K84" s="13" t="n">
        <v>2</v>
      </c>
      <c r="L84" s="13" t="inlineStr">
        <is>
          <t>Regular cycle</t>
        </is>
      </c>
    </row>
    <row r="85" ht="15" customHeight="1" s="11">
      <c r="A85" s="14" t="n">
        <v>84</v>
      </c>
      <c r="B85" s="14" t="inlineStr">
        <is>
          <t>COW028</t>
        </is>
      </c>
      <c r="C85" s="14" t="inlineStr">
        <is>
          <t>RFID100028</t>
        </is>
      </c>
      <c r="D85" s="14" t="inlineStr">
        <is>
          <t>2024-02-14</t>
        </is>
      </c>
      <c r="E85" s="14" t="inlineStr">
        <is>
          <t>Yes</t>
        </is>
      </c>
      <c r="F85" s="14" t="n">
        <v>21</v>
      </c>
      <c r="G85" s="14" t="inlineStr">
        <is>
          <t>2024-03-06</t>
        </is>
      </c>
      <c r="H85" s="14" t="n">
        <v>-87</v>
      </c>
      <c r="I85" s="14" t="inlineStr">
        <is>
          <t>2024-02-15</t>
        </is>
      </c>
      <c r="J85" s="14" t="inlineStr">
        <is>
          <t>Confirmed</t>
        </is>
      </c>
      <c r="K85" s="14" t="n">
        <v>5</v>
      </c>
      <c r="L85" s="14" t="inlineStr">
        <is>
          <t>Regular cycle</t>
        </is>
      </c>
    </row>
    <row r="86" ht="15" customHeight="1" s="11">
      <c r="A86" s="13" t="n">
        <v>85</v>
      </c>
      <c r="B86" s="13" t="inlineStr">
        <is>
          <t>COW029</t>
        </is>
      </c>
      <c r="C86" s="13" t="inlineStr">
        <is>
          <t>RFID100029</t>
        </is>
      </c>
      <c r="D86" s="13" t="inlineStr">
        <is>
          <t>2023-12-31</t>
        </is>
      </c>
      <c r="E86" s="13" t="inlineStr">
        <is>
          <t>Yes</t>
        </is>
      </c>
      <c r="F86" s="13" t="n">
        <v>22</v>
      </c>
      <c r="G86" s="13" t="inlineStr">
        <is>
          <t>2024-01-22</t>
        </is>
      </c>
      <c r="H86" s="13" t="n">
        <v>-131</v>
      </c>
      <c r="I86" s="13" t="inlineStr">
        <is>
          <t>2023-12-31</t>
        </is>
      </c>
      <c r="J86" s="13" t="inlineStr">
        <is>
          <t>Confirmed</t>
        </is>
      </c>
      <c r="K86" s="13" t="n">
        <v>2</v>
      </c>
      <c r="L86" s="13" t="inlineStr">
        <is>
          <t>Regular cycle</t>
        </is>
      </c>
    </row>
    <row r="87" ht="15" customHeight="1" s="11">
      <c r="A87" s="14" t="n">
        <v>86</v>
      </c>
      <c r="B87" s="14" t="inlineStr">
        <is>
          <t>COW029</t>
        </is>
      </c>
      <c r="C87" s="14" t="inlineStr">
        <is>
          <t>RFID100029</t>
        </is>
      </c>
      <c r="D87" s="14" t="inlineStr">
        <is>
          <t>2024-01-21</t>
        </is>
      </c>
      <c r="E87" s="14" t="inlineStr">
        <is>
          <t>Yes</t>
        </is>
      </c>
      <c r="F87" s="14" t="n">
        <v>20</v>
      </c>
      <c r="G87" s="14" t="inlineStr">
        <is>
          <t>2024-02-10</t>
        </is>
      </c>
      <c r="H87" s="14" t="n">
        <v>-112</v>
      </c>
      <c r="I87" s="14" t="inlineStr">
        <is>
          <t>2024-01-22</t>
        </is>
      </c>
      <c r="J87" s="14" t="inlineStr">
        <is>
          <t>Pending</t>
        </is>
      </c>
      <c r="K87" s="14" t="n">
        <v>3</v>
      </c>
      <c r="L87" s="14" t="inlineStr">
        <is>
          <t>Regular cycle</t>
        </is>
      </c>
    </row>
    <row r="88" ht="15" customHeight="1" s="11">
      <c r="A88" s="13" t="n">
        <v>87</v>
      </c>
      <c r="B88" s="13" t="inlineStr">
        <is>
          <t>COW029</t>
        </is>
      </c>
      <c r="C88" s="13" t="inlineStr">
        <is>
          <t>RFID100029</t>
        </is>
      </c>
      <c r="D88" s="13" t="inlineStr">
        <is>
          <t>2024-02-10</t>
        </is>
      </c>
      <c r="E88" s="13" t="inlineStr">
        <is>
          <t>Yes</t>
        </is>
      </c>
      <c r="F88" s="13" t="n">
        <v>21</v>
      </c>
      <c r="G88" s="13" t="inlineStr">
        <is>
          <t>2024-03-02</t>
        </is>
      </c>
      <c r="H88" s="13" t="n">
        <v>-91</v>
      </c>
      <c r="I88" s="13" t="inlineStr">
        <is>
          <t>2024-02-10</t>
        </is>
      </c>
      <c r="J88" s="13" t="inlineStr">
        <is>
          <t>Confirmed</t>
        </is>
      </c>
      <c r="K88" s="13" t="n">
        <v>4</v>
      </c>
      <c r="L88" s="13" t="inlineStr">
        <is>
          <t>Regular cycle</t>
        </is>
      </c>
    </row>
    <row r="89" ht="15" customHeight="1" s="11">
      <c r="A89" s="14" t="n">
        <v>88</v>
      </c>
      <c r="B89" s="14" t="inlineStr">
        <is>
          <t>COW030</t>
        </is>
      </c>
      <c r="C89" s="14" t="inlineStr">
        <is>
          <t>RFID100030</t>
        </is>
      </c>
      <c r="D89" s="14" t="inlineStr">
        <is>
          <t>2024-01-03</t>
        </is>
      </c>
      <c r="E89" s="14" t="inlineStr">
        <is>
          <t>Yes</t>
        </is>
      </c>
      <c r="F89" s="14" t="n">
        <v>22</v>
      </c>
      <c r="G89" s="14" t="inlineStr">
        <is>
          <t>2024-01-25</t>
        </is>
      </c>
      <c r="H89" s="14" t="n">
        <v>-128</v>
      </c>
      <c r="I89" s="14" t="inlineStr">
        <is>
          <t>2024-01-04</t>
        </is>
      </c>
      <c r="J89" s="14" t="inlineStr">
        <is>
          <t>Confirmed</t>
        </is>
      </c>
      <c r="K89" s="14" t="n">
        <v>4</v>
      </c>
      <c r="L89" s="14" t="inlineStr">
        <is>
          <t>Regular cycle</t>
        </is>
      </c>
    </row>
    <row r="90" ht="15" customHeight="1" s="11">
      <c r="A90" s="13" t="n">
        <v>89</v>
      </c>
      <c r="B90" s="13" t="inlineStr">
        <is>
          <t>COW030</t>
        </is>
      </c>
      <c r="C90" s="13" t="inlineStr">
        <is>
          <t>RFID100030</t>
        </is>
      </c>
      <c r="D90" s="13" t="inlineStr">
        <is>
          <t>2024-01-23</t>
        </is>
      </c>
      <c r="E90" s="13" t="inlineStr">
        <is>
          <t>Yes</t>
        </is>
      </c>
      <c r="F90" s="13" t="n">
        <v>23</v>
      </c>
      <c r="G90" s="13" t="inlineStr">
        <is>
          <t>2024-02-15</t>
        </is>
      </c>
      <c r="H90" s="13" t="n">
        <v>-107</v>
      </c>
      <c r="I90" s="13" t="inlineStr">
        <is>
          <t>2024-01-24</t>
        </is>
      </c>
      <c r="J90" s="13" t="inlineStr">
        <is>
          <t>Confirmed</t>
        </is>
      </c>
      <c r="K90" s="13" t="n">
        <v>1</v>
      </c>
      <c r="L90" s="13" t="inlineStr">
        <is>
          <t>Regular cycle</t>
        </is>
      </c>
    </row>
    <row r="91" ht="15" customHeight="1" s="11">
      <c r="A91" s="14" t="n">
        <v>90</v>
      </c>
      <c r="B91" s="14" t="inlineStr">
        <is>
          <t>COW030</t>
        </is>
      </c>
      <c r="C91" s="14" t="inlineStr">
        <is>
          <t>RFID100030</t>
        </is>
      </c>
      <c r="D91" s="14" t="inlineStr">
        <is>
          <t>2024-02-14</t>
        </is>
      </c>
      <c r="E91" s="14" t="inlineStr">
        <is>
          <t>Yes</t>
        </is>
      </c>
      <c r="F91" s="14" t="n">
        <v>18</v>
      </c>
      <c r="G91" s="14" t="inlineStr">
        <is>
          <t>2024-03-03</t>
        </is>
      </c>
      <c r="H91" s="14" t="n">
        <v>-90</v>
      </c>
      <c r="I91" s="14" t="inlineStr">
        <is>
          <t>2024-02-14</t>
        </is>
      </c>
      <c r="J91" s="14" t="inlineStr">
        <is>
          <t>Confirmed</t>
        </is>
      </c>
      <c r="K91" s="14" t="n">
        <v>3</v>
      </c>
      <c r="L91" s="14" t="inlineStr">
        <is>
          <t>Regular cycle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J8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0" customWidth="1" style="10" min="1" max="2"/>
    <col width="14" customWidth="1" style="10" min="3" max="3"/>
    <col width="18" customWidth="1" style="10" min="4" max="5"/>
    <col width="15" customWidth="1" style="10" min="6" max="6"/>
    <col width="16" customWidth="1" style="10" min="7" max="7"/>
    <col width="13" customWidth="1" style="10" min="8" max="8"/>
    <col width="12" customWidth="1" style="10" min="9" max="10"/>
  </cols>
  <sheetData>
    <row r="1" ht="34.5" customHeight="1" s="11">
      <c r="A1" s="12" t="inlineStr">
        <is>
          <t>Vacc_ID</t>
        </is>
      </c>
      <c r="B1" s="12" t="inlineStr">
        <is>
          <t>Cow_ID</t>
        </is>
      </c>
      <c r="C1" s="12" t="inlineStr">
        <is>
          <t>RFID_Tag</t>
        </is>
      </c>
      <c r="D1" s="12" t="inlineStr">
        <is>
          <t>Vaccine_Name</t>
        </is>
      </c>
      <c r="E1" s="12" t="inlineStr">
        <is>
          <t>Date_Administered</t>
        </is>
      </c>
      <c r="F1" s="12" t="inlineStr">
        <is>
          <t>Next_Due_Date</t>
        </is>
      </c>
      <c r="G1" s="12" t="inlineStr">
        <is>
          <t>Administered_By</t>
        </is>
      </c>
      <c r="H1" s="12" t="inlineStr">
        <is>
          <t>Dosage_ml</t>
        </is>
      </c>
      <c r="I1" s="12" t="inlineStr">
        <is>
          <t>Status</t>
        </is>
      </c>
      <c r="J1" s="12" t="inlineStr">
        <is>
          <t>Remarks</t>
        </is>
      </c>
    </row>
    <row r="2" ht="15" customHeight="1" s="11">
      <c r="A2" s="13" t="n">
        <v>1</v>
      </c>
      <c r="B2" s="13" t="inlineStr">
        <is>
          <t>COW001</t>
        </is>
      </c>
      <c r="C2" s="13" t="inlineStr">
        <is>
          <t>RFID100001</t>
        </is>
      </c>
      <c r="D2" s="13" t="inlineStr">
        <is>
          <t>FMD Vaccine</t>
        </is>
      </c>
      <c r="E2" s="13" t="inlineStr">
        <is>
          <t>2024-05-17</t>
        </is>
      </c>
      <c r="F2" s="13" t="inlineStr">
        <is>
          <t>2024-11-13</t>
        </is>
      </c>
      <c r="G2" s="13" t="inlineStr">
        <is>
          <t>Dr. Sharma</t>
        </is>
      </c>
      <c r="H2" s="13" t="n">
        <v>4.3</v>
      </c>
      <c r="I2" s="13" t="inlineStr">
        <is>
          <t>Completed</t>
        </is>
      </c>
      <c r="J2" s="13" t="inlineStr">
        <is>
          <t>Routine</t>
        </is>
      </c>
    </row>
    <row r="3" ht="15" customHeight="1" s="11">
      <c r="A3" s="14" t="n">
        <v>2</v>
      </c>
      <c r="B3" s="14" t="inlineStr">
        <is>
          <t>COW001</t>
        </is>
      </c>
      <c r="C3" s="14" t="inlineStr">
        <is>
          <t>RFID100001</t>
        </is>
      </c>
      <c r="D3" s="14" t="inlineStr">
        <is>
          <t>Brucellosis</t>
        </is>
      </c>
      <c r="E3" s="14" t="inlineStr">
        <is>
          <t>2024-04-27</t>
        </is>
      </c>
      <c r="F3" s="14" t="inlineStr">
        <is>
          <t>2024-10-24</t>
        </is>
      </c>
      <c r="G3" s="14" t="inlineStr">
        <is>
          <t>Dr. Sharma</t>
        </is>
      </c>
      <c r="H3" s="14" t="n">
        <v>6.5</v>
      </c>
      <c r="I3" s="14" t="inlineStr">
        <is>
          <t>Completed</t>
        </is>
      </c>
      <c r="J3" s="14" t="inlineStr">
        <is>
          <t>Routine</t>
        </is>
      </c>
    </row>
    <row r="4" ht="15" customHeight="1" s="11">
      <c r="A4" s="13" t="n">
        <v>3</v>
      </c>
      <c r="B4" s="13" t="inlineStr">
        <is>
          <t>COW001</t>
        </is>
      </c>
      <c r="C4" s="13" t="inlineStr">
        <is>
          <t>RFID100001</t>
        </is>
      </c>
      <c r="D4" s="13" t="inlineStr">
        <is>
          <t>BVD</t>
        </is>
      </c>
      <c r="E4" s="13" t="inlineStr">
        <is>
          <t>2024-05-06</t>
        </is>
      </c>
      <c r="F4" s="13" t="inlineStr">
        <is>
          <t>2024-11-02</t>
        </is>
      </c>
      <c r="G4" s="13" t="inlineStr">
        <is>
          <t>Dr. Sharma</t>
        </is>
      </c>
      <c r="H4" s="13" t="n">
        <v>6.4</v>
      </c>
      <c r="I4" s="13" t="inlineStr">
        <is>
          <t>Completed</t>
        </is>
      </c>
      <c r="J4" s="13" t="inlineStr">
        <is>
          <t>Routine</t>
        </is>
      </c>
    </row>
    <row r="5" ht="15" customHeight="1" s="11">
      <c r="A5" s="14" t="n">
        <v>4</v>
      </c>
      <c r="B5" s="14" t="inlineStr">
        <is>
          <t>COW002</t>
        </is>
      </c>
      <c r="C5" s="14" t="inlineStr">
        <is>
          <t>RFID100002</t>
        </is>
      </c>
      <c r="D5" s="14" t="inlineStr">
        <is>
          <t>FMD Vaccine</t>
        </is>
      </c>
      <c r="E5" s="14" t="inlineStr">
        <is>
          <t>2024-05-26</t>
        </is>
      </c>
      <c r="F5" s="14" t="inlineStr">
        <is>
          <t>2024-11-22</t>
        </is>
      </c>
      <c r="G5" s="14" t="inlineStr">
        <is>
          <t>Dr. Sharma</t>
        </is>
      </c>
      <c r="H5" s="14" t="n">
        <v>2.9</v>
      </c>
      <c r="I5" s="14" t="inlineStr">
        <is>
          <t>Completed</t>
        </is>
      </c>
      <c r="J5" s="14" t="inlineStr">
        <is>
          <t>Routine</t>
        </is>
      </c>
    </row>
    <row r="6" ht="15" customHeight="1" s="11">
      <c r="A6" s="13" t="n">
        <v>5</v>
      </c>
      <c r="B6" s="13" t="inlineStr">
        <is>
          <t>COW002</t>
        </is>
      </c>
      <c r="C6" s="13" t="inlineStr">
        <is>
          <t>RFID100002</t>
        </is>
      </c>
      <c r="D6" s="13" t="inlineStr">
        <is>
          <t>Brucellosis</t>
        </is>
      </c>
      <c r="E6" s="13" t="inlineStr">
        <is>
          <t>2024-05-19</t>
        </is>
      </c>
      <c r="F6" s="13" t="inlineStr">
        <is>
          <t>2024-11-15</t>
        </is>
      </c>
      <c r="G6" s="13" t="inlineStr">
        <is>
          <t>Dr. Sharma</t>
        </is>
      </c>
      <c r="H6" s="13" t="n">
        <v>8.6</v>
      </c>
      <c r="I6" s="13" t="inlineStr">
        <is>
          <t>Completed</t>
        </is>
      </c>
      <c r="J6" s="13" t="inlineStr">
        <is>
          <t>Routine</t>
        </is>
      </c>
    </row>
    <row r="7" ht="15" customHeight="1" s="11">
      <c r="A7" s="14" t="n">
        <v>6</v>
      </c>
      <c r="B7" s="14" t="inlineStr">
        <is>
          <t>COW003</t>
        </is>
      </c>
      <c r="C7" s="14" t="inlineStr">
        <is>
          <t>RFID100003</t>
        </is>
      </c>
      <c r="D7" s="14" t="inlineStr">
        <is>
          <t>FMD Vaccine</t>
        </is>
      </c>
      <c r="E7" s="14" t="inlineStr">
        <is>
          <t>2024-05-18</t>
        </is>
      </c>
      <c r="F7" s="14" t="inlineStr">
        <is>
          <t>2024-11-14</t>
        </is>
      </c>
      <c r="G7" s="14" t="inlineStr">
        <is>
          <t>Dr. Sharma</t>
        </is>
      </c>
      <c r="H7" s="14" t="n">
        <v>8.6</v>
      </c>
      <c r="I7" s="14" t="inlineStr">
        <is>
          <t>Completed</t>
        </is>
      </c>
      <c r="J7" s="14" t="inlineStr">
        <is>
          <t>Routine</t>
        </is>
      </c>
    </row>
    <row r="8" ht="15" customHeight="1" s="11">
      <c r="A8" s="13" t="n">
        <v>7</v>
      </c>
      <c r="B8" s="13" t="inlineStr">
        <is>
          <t>COW003</t>
        </is>
      </c>
      <c r="C8" s="13" t="inlineStr">
        <is>
          <t>RFID100003</t>
        </is>
      </c>
      <c r="D8" s="13" t="inlineStr">
        <is>
          <t>Brucellosis</t>
        </is>
      </c>
      <c r="E8" s="13" t="inlineStr">
        <is>
          <t>2024-01-11</t>
        </is>
      </c>
      <c r="F8" s="13" t="inlineStr">
        <is>
          <t>2024-07-09</t>
        </is>
      </c>
      <c r="G8" s="13" t="inlineStr">
        <is>
          <t>Dr. Sharma</t>
        </is>
      </c>
      <c r="H8" s="13" t="n">
        <v>8.1</v>
      </c>
      <c r="I8" s="13" t="inlineStr">
        <is>
          <t>Completed</t>
        </is>
      </c>
      <c r="J8" s="13" t="inlineStr">
        <is>
          <t>Routine</t>
        </is>
      </c>
    </row>
    <row r="9" ht="15" customHeight="1" s="11">
      <c r="A9" s="14" t="n">
        <v>8</v>
      </c>
      <c r="B9" s="14" t="inlineStr">
        <is>
          <t>COW003</t>
        </is>
      </c>
      <c r="C9" s="14" t="inlineStr">
        <is>
          <t>RFID100003</t>
        </is>
      </c>
      <c r="D9" s="14" t="inlineStr">
        <is>
          <t>BVD</t>
        </is>
      </c>
      <c r="E9" s="14" t="inlineStr">
        <is>
          <t>2024-04-22</t>
        </is>
      </c>
      <c r="F9" s="14" t="inlineStr">
        <is>
          <t>2024-10-19</t>
        </is>
      </c>
      <c r="G9" s="14" t="inlineStr">
        <is>
          <t>Dr. Sharma</t>
        </is>
      </c>
      <c r="H9" s="14" t="n">
        <v>6.4</v>
      </c>
      <c r="I9" s="14" t="inlineStr">
        <is>
          <t>Completed</t>
        </is>
      </c>
      <c r="J9" s="14" t="inlineStr">
        <is>
          <t>Routine</t>
        </is>
      </c>
    </row>
    <row r="10" ht="15" customHeight="1" s="11">
      <c r="A10" s="13" t="n">
        <v>9</v>
      </c>
      <c r="B10" s="13" t="inlineStr">
        <is>
          <t>COW003</t>
        </is>
      </c>
      <c r="C10" s="13" t="inlineStr">
        <is>
          <t>RFID100003</t>
        </is>
      </c>
      <c r="D10" s="13" t="inlineStr">
        <is>
          <t>IBR</t>
        </is>
      </c>
      <c r="E10" s="13" t="inlineStr">
        <is>
          <t>2024-04-18</t>
        </is>
      </c>
      <c r="F10" s="13" t="inlineStr">
        <is>
          <t>2024-10-15</t>
        </is>
      </c>
      <c r="G10" s="13" t="inlineStr">
        <is>
          <t>Dr. Sharma</t>
        </is>
      </c>
      <c r="H10" s="13" t="n">
        <v>2.8</v>
      </c>
      <c r="I10" s="13" t="inlineStr">
        <is>
          <t>Completed</t>
        </is>
      </c>
      <c r="J10" s="13" t="inlineStr">
        <is>
          <t>Routine</t>
        </is>
      </c>
    </row>
    <row r="11" ht="15" customHeight="1" s="11">
      <c r="A11" s="14" t="n">
        <v>10</v>
      </c>
      <c r="B11" s="14" t="inlineStr">
        <is>
          <t>COW004</t>
        </is>
      </c>
      <c r="C11" s="14" t="inlineStr">
        <is>
          <t>RFID100004</t>
        </is>
      </c>
      <c r="D11" s="14" t="inlineStr">
        <is>
          <t>FMD Vaccine</t>
        </is>
      </c>
      <c r="E11" s="14" t="inlineStr">
        <is>
          <t>2024-03-17</t>
        </is>
      </c>
      <c r="F11" s="14" t="inlineStr">
        <is>
          <t>2024-09-13</t>
        </is>
      </c>
      <c r="G11" s="14" t="inlineStr">
        <is>
          <t>Dr. Sharma</t>
        </is>
      </c>
      <c r="H11" s="14" t="n">
        <v>9</v>
      </c>
      <c r="I11" s="14" t="inlineStr">
        <is>
          <t>Completed</t>
        </is>
      </c>
      <c r="J11" s="14" t="inlineStr">
        <is>
          <t>Routine</t>
        </is>
      </c>
    </row>
    <row r="12" ht="15" customHeight="1" s="11">
      <c r="A12" s="13" t="n">
        <v>11</v>
      </c>
      <c r="B12" s="13" t="inlineStr">
        <is>
          <t>COW004</t>
        </is>
      </c>
      <c r="C12" s="13" t="inlineStr">
        <is>
          <t>RFID100004</t>
        </is>
      </c>
      <c r="D12" s="13" t="inlineStr">
        <is>
          <t>Brucellosis</t>
        </is>
      </c>
      <c r="E12" s="13" t="inlineStr">
        <is>
          <t>2024-01-09</t>
        </is>
      </c>
      <c r="F12" s="13" t="inlineStr">
        <is>
          <t>2024-07-07</t>
        </is>
      </c>
      <c r="G12" s="13" t="inlineStr">
        <is>
          <t>Dr. Sharma</t>
        </is>
      </c>
      <c r="H12" s="13" t="n">
        <v>5.6</v>
      </c>
      <c r="I12" s="13" t="inlineStr">
        <is>
          <t>Completed</t>
        </is>
      </c>
      <c r="J12" s="13" t="inlineStr">
        <is>
          <t>Routine</t>
        </is>
      </c>
    </row>
    <row r="13" ht="15" customHeight="1" s="11">
      <c r="A13" s="14" t="n">
        <v>12</v>
      </c>
      <c r="B13" s="14" t="inlineStr">
        <is>
          <t>COW004</t>
        </is>
      </c>
      <c r="C13" s="14" t="inlineStr">
        <is>
          <t>RFID100004</t>
        </is>
      </c>
      <c r="D13" s="14" t="inlineStr">
        <is>
          <t>BVD</t>
        </is>
      </c>
      <c r="E13" s="14" t="inlineStr">
        <is>
          <t>2024-03-30</t>
        </is>
      </c>
      <c r="F13" s="14" t="inlineStr">
        <is>
          <t>2024-09-26</t>
        </is>
      </c>
      <c r="G13" s="14" t="inlineStr">
        <is>
          <t>Dr. Sharma</t>
        </is>
      </c>
      <c r="H13" s="14" t="n">
        <v>8.9</v>
      </c>
      <c r="I13" s="14" t="inlineStr">
        <is>
          <t>Completed</t>
        </is>
      </c>
      <c r="J13" s="14" t="inlineStr">
        <is>
          <t>Routine</t>
        </is>
      </c>
    </row>
    <row r="14" ht="15" customHeight="1" s="11">
      <c r="A14" s="13" t="n">
        <v>13</v>
      </c>
      <c r="B14" s="13" t="inlineStr">
        <is>
          <t>COW005</t>
        </is>
      </c>
      <c r="C14" s="13" t="inlineStr">
        <is>
          <t>RFID100005</t>
        </is>
      </c>
      <c r="D14" s="13" t="inlineStr">
        <is>
          <t>FMD Vaccine</t>
        </is>
      </c>
      <c r="E14" s="13" t="inlineStr">
        <is>
          <t>2024-04-22</t>
        </is>
      </c>
      <c r="F14" s="13" t="inlineStr">
        <is>
          <t>2024-10-19</t>
        </is>
      </c>
      <c r="G14" s="13" t="inlineStr">
        <is>
          <t>Dr. Sharma</t>
        </is>
      </c>
      <c r="H14" s="13" t="n">
        <v>8.9</v>
      </c>
      <c r="I14" s="13" t="inlineStr">
        <is>
          <t>Completed</t>
        </is>
      </c>
      <c r="J14" s="13" t="inlineStr">
        <is>
          <t>Routine</t>
        </is>
      </c>
    </row>
    <row r="15" ht="15" customHeight="1" s="11">
      <c r="A15" s="14" t="n">
        <v>14</v>
      </c>
      <c r="B15" s="14" t="inlineStr">
        <is>
          <t>COW005</t>
        </is>
      </c>
      <c r="C15" s="14" t="inlineStr">
        <is>
          <t>RFID100005</t>
        </is>
      </c>
      <c r="D15" s="14" t="inlineStr">
        <is>
          <t>Brucellosis</t>
        </is>
      </c>
      <c r="E15" s="14" t="inlineStr">
        <is>
          <t>2024-01-31</t>
        </is>
      </c>
      <c r="F15" s="14" t="inlineStr">
        <is>
          <t>2024-07-29</t>
        </is>
      </c>
      <c r="G15" s="14" t="inlineStr">
        <is>
          <t>Dr. Sharma</t>
        </is>
      </c>
      <c r="H15" s="14" t="n">
        <v>8.199999999999999</v>
      </c>
      <c r="I15" s="14" t="inlineStr">
        <is>
          <t>Completed</t>
        </is>
      </c>
      <c r="J15" s="14" t="inlineStr">
        <is>
          <t>Routine</t>
        </is>
      </c>
    </row>
    <row r="16" ht="15" customHeight="1" s="11">
      <c r="A16" s="13" t="n">
        <v>15</v>
      </c>
      <c r="B16" s="13" t="inlineStr">
        <is>
          <t>COW006</t>
        </is>
      </c>
      <c r="C16" s="13" t="inlineStr">
        <is>
          <t>RFID100006</t>
        </is>
      </c>
      <c r="D16" s="13" t="inlineStr">
        <is>
          <t>FMD Vaccine</t>
        </is>
      </c>
      <c r="E16" s="13" t="inlineStr">
        <is>
          <t>2024-02-23</t>
        </is>
      </c>
      <c r="F16" s="13" t="inlineStr">
        <is>
          <t>2024-08-21</t>
        </is>
      </c>
      <c r="G16" s="13" t="inlineStr">
        <is>
          <t>Dr. Sharma</t>
        </is>
      </c>
      <c r="H16" s="13" t="n">
        <v>8.5</v>
      </c>
      <c r="I16" s="13" t="inlineStr">
        <is>
          <t>Completed</t>
        </is>
      </c>
      <c r="J16" s="13" t="inlineStr">
        <is>
          <t>Routine</t>
        </is>
      </c>
    </row>
    <row r="17" ht="15" customHeight="1" s="11">
      <c r="A17" s="14" t="n">
        <v>16</v>
      </c>
      <c r="B17" s="14" t="inlineStr">
        <is>
          <t>COW006</t>
        </is>
      </c>
      <c r="C17" s="14" t="inlineStr">
        <is>
          <t>RFID100006</t>
        </is>
      </c>
      <c r="D17" s="14" t="inlineStr">
        <is>
          <t>Brucellosis</t>
        </is>
      </c>
      <c r="E17" s="14" t="inlineStr">
        <is>
          <t>2024-05-30</t>
        </is>
      </c>
      <c r="F17" s="14" t="inlineStr">
        <is>
          <t>2024-11-26</t>
        </is>
      </c>
      <c r="G17" s="14" t="inlineStr">
        <is>
          <t>Dr. Sharma</t>
        </is>
      </c>
      <c r="H17" s="14" t="n">
        <v>7.5</v>
      </c>
      <c r="I17" s="14" t="inlineStr">
        <is>
          <t>Completed</t>
        </is>
      </c>
      <c r="J17" s="14" t="inlineStr">
        <is>
          <t>Routine</t>
        </is>
      </c>
    </row>
    <row r="18" ht="15" customHeight="1" s="11">
      <c r="A18" s="13" t="n">
        <v>17</v>
      </c>
      <c r="B18" s="13" t="inlineStr">
        <is>
          <t>COW006</t>
        </is>
      </c>
      <c r="C18" s="13" t="inlineStr">
        <is>
          <t>RFID100006</t>
        </is>
      </c>
      <c r="D18" s="13" t="inlineStr">
        <is>
          <t>BVD</t>
        </is>
      </c>
      <c r="E18" s="13" t="inlineStr">
        <is>
          <t>2024-04-19</t>
        </is>
      </c>
      <c r="F18" s="13" t="inlineStr">
        <is>
          <t>2024-10-16</t>
        </is>
      </c>
      <c r="G18" s="13" t="inlineStr">
        <is>
          <t>Dr. Sharma</t>
        </is>
      </c>
      <c r="H18" s="13" t="n">
        <v>3.3</v>
      </c>
      <c r="I18" s="13" t="inlineStr">
        <is>
          <t>Completed</t>
        </is>
      </c>
      <c r="J18" s="13" t="inlineStr">
        <is>
          <t>Routine</t>
        </is>
      </c>
    </row>
    <row r="19" ht="15" customHeight="1" s="11">
      <c r="A19" s="14" t="n">
        <v>18</v>
      </c>
      <c r="B19" s="14" t="inlineStr">
        <is>
          <t>COW007</t>
        </is>
      </c>
      <c r="C19" s="14" t="inlineStr">
        <is>
          <t>RFID100007</t>
        </is>
      </c>
      <c r="D19" s="14" t="inlineStr">
        <is>
          <t>FMD Vaccine</t>
        </is>
      </c>
      <c r="E19" s="14" t="inlineStr">
        <is>
          <t>2024-02-22</t>
        </is>
      </c>
      <c r="F19" s="14" t="inlineStr">
        <is>
          <t>2024-08-20</t>
        </is>
      </c>
      <c r="G19" s="14" t="inlineStr">
        <is>
          <t>Dr. Sharma</t>
        </is>
      </c>
      <c r="H19" s="14" t="n">
        <v>8.5</v>
      </c>
      <c r="I19" s="14" t="inlineStr">
        <is>
          <t>Completed</t>
        </is>
      </c>
      <c r="J19" s="14" t="inlineStr">
        <is>
          <t>Routine</t>
        </is>
      </c>
    </row>
    <row r="20" ht="15" customHeight="1" s="11">
      <c r="A20" s="13" t="n">
        <v>19</v>
      </c>
      <c r="B20" s="13" t="inlineStr">
        <is>
          <t>COW007</t>
        </is>
      </c>
      <c r="C20" s="13" t="inlineStr">
        <is>
          <t>RFID100007</t>
        </is>
      </c>
      <c r="D20" s="13" t="inlineStr">
        <is>
          <t>Brucellosis</t>
        </is>
      </c>
      <c r="E20" s="13" t="inlineStr">
        <is>
          <t>2024-01-16</t>
        </is>
      </c>
      <c r="F20" s="13" t="inlineStr">
        <is>
          <t>2024-07-14</t>
        </is>
      </c>
      <c r="G20" s="13" t="inlineStr">
        <is>
          <t>Dr. Sharma</t>
        </is>
      </c>
      <c r="H20" s="13" t="n">
        <v>6.6</v>
      </c>
      <c r="I20" s="13" t="inlineStr">
        <is>
          <t>Completed</t>
        </is>
      </c>
      <c r="J20" s="13" t="inlineStr">
        <is>
          <t>Routine</t>
        </is>
      </c>
    </row>
    <row r="21" ht="15" customHeight="1" s="11">
      <c r="A21" s="14" t="n">
        <v>20</v>
      </c>
      <c r="B21" s="14" t="inlineStr">
        <is>
          <t>COW007</t>
        </is>
      </c>
      <c r="C21" s="14" t="inlineStr">
        <is>
          <t>RFID100007</t>
        </is>
      </c>
      <c r="D21" s="14" t="inlineStr">
        <is>
          <t>BVD</t>
        </is>
      </c>
      <c r="E21" s="14" t="inlineStr">
        <is>
          <t>2024-05-16</t>
        </is>
      </c>
      <c r="F21" s="14" t="inlineStr">
        <is>
          <t>2024-11-12</t>
        </is>
      </c>
      <c r="G21" s="14" t="inlineStr">
        <is>
          <t>Dr. Sharma</t>
        </is>
      </c>
      <c r="H21" s="14" t="n">
        <v>4.2</v>
      </c>
      <c r="I21" s="14" t="inlineStr">
        <is>
          <t>Completed</t>
        </is>
      </c>
      <c r="J21" s="14" t="inlineStr">
        <is>
          <t>Routine</t>
        </is>
      </c>
    </row>
    <row r="22" ht="15" customHeight="1" s="11">
      <c r="A22" s="13" t="n">
        <v>21</v>
      </c>
      <c r="B22" s="13" t="inlineStr">
        <is>
          <t>COW008</t>
        </is>
      </c>
      <c r="C22" s="13" t="inlineStr">
        <is>
          <t>RFID100008</t>
        </is>
      </c>
      <c r="D22" s="13" t="inlineStr">
        <is>
          <t>FMD Vaccine</t>
        </is>
      </c>
      <c r="E22" s="13" t="inlineStr">
        <is>
          <t>2024-03-23</t>
        </is>
      </c>
      <c r="F22" s="13" t="inlineStr">
        <is>
          <t>2024-09-19</t>
        </is>
      </c>
      <c r="G22" s="13" t="inlineStr">
        <is>
          <t>Dr. Sharma</t>
        </is>
      </c>
      <c r="H22" s="13" t="n">
        <v>9.800000000000001</v>
      </c>
      <c r="I22" s="13" t="inlineStr">
        <is>
          <t>Completed</t>
        </is>
      </c>
      <c r="J22" s="13" t="inlineStr">
        <is>
          <t>Routine</t>
        </is>
      </c>
    </row>
    <row r="23" ht="15" customHeight="1" s="11">
      <c r="A23" s="14" t="n">
        <v>22</v>
      </c>
      <c r="B23" s="14" t="inlineStr">
        <is>
          <t>COW008</t>
        </is>
      </c>
      <c r="C23" s="14" t="inlineStr">
        <is>
          <t>RFID100008</t>
        </is>
      </c>
      <c r="D23" s="14" t="inlineStr">
        <is>
          <t>Brucellosis</t>
        </is>
      </c>
      <c r="E23" s="14" t="inlineStr">
        <is>
          <t>2024-03-15</t>
        </is>
      </c>
      <c r="F23" s="14" t="inlineStr">
        <is>
          <t>2024-09-11</t>
        </is>
      </c>
      <c r="G23" s="14" t="inlineStr">
        <is>
          <t>Dr. Sharma</t>
        </is>
      </c>
      <c r="H23" s="14" t="n">
        <v>4.3</v>
      </c>
      <c r="I23" s="14" t="inlineStr">
        <is>
          <t>Completed</t>
        </is>
      </c>
      <c r="J23" s="14" t="inlineStr">
        <is>
          <t>Routine</t>
        </is>
      </c>
    </row>
    <row r="24" ht="15" customHeight="1" s="11">
      <c r="A24" s="13" t="n">
        <v>23</v>
      </c>
      <c r="B24" s="13" t="inlineStr">
        <is>
          <t>COW008</t>
        </is>
      </c>
      <c r="C24" s="13" t="inlineStr">
        <is>
          <t>RFID100008</t>
        </is>
      </c>
      <c r="D24" s="13" t="inlineStr">
        <is>
          <t>BVD</t>
        </is>
      </c>
      <c r="E24" s="13" t="inlineStr">
        <is>
          <t>2024-03-09</t>
        </is>
      </c>
      <c r="F24" s="13" t="inlineStr">
        <is>
          <t>2024-09-05</t>
        </is>
      </c>
      <c r="G24" s="13" t="inlineStr">
        <is>
          <t>Dr. Sharma</t>
        </is>
      </c>
      <c r="H24" s="13" t="n">
        <v>9.6</v>
      </c>
      <c r="I24" s="13" t="inlineStr">
        <is>
          <t>Completed</t>
        </is>
      </c>
      <c r="J24" s="13" t="inlineStr">
        <is>
          <t>Routine</t>
        </is>
      </c>
    </row>
    <row r="25" ht="15" customHeight="1" s="11">
      <c r="A25" s="14" t="n">
        <v>24</v>
      </c>
      <c r="B25" s="14" t="inlineStr">
        <is>
          <t>COW009</t>
        </is>
      </c>
      <c r="C25" s="14" t="inlineStr">
        <is>
          <t>RFID100009</t>
        </is>
      </c>
      <c r="D25" s="14" t="inlineStr">
        <is>
          <t>FMD Vaccine</t>
        </is>
      </c>
      <c r="E25" s="14" t="inlineStr">
        <is>
          <t>2024-02-04</t>
        </is>
      </c>
      <c r="F25" s="14" t="inlineStr">
        <is>
          <t>2024-08-02</t>
        </is>
      </c>
      <c r="G25" s="14" t="inlineStr">
        <is>
          <t>Dr. Sharma</t>
        </is>
      </c>
      <c r="H25" s="14" t="n">
        <v>9.699999999999999</v>
      </c>
      <c r="I25" s="14" t="inlineStr">
        <is>
          <t>Completed</t>
        </is>
      </c>
      <c r="J25" s="14" t="inlineStr">
        <is>
          <t>Routine</t>
        </is>
      </c>
    </row>
    <row r="26" ht="15" customHeight="1" s="11">
      <c r="A26" s="13" t="n">
        <v>25</v>
      </c>
      <c r="B26" s="13" t="inlineStr">
        <is>
          <t>COW009</t>
        </is>
      </c>
      <c r="C26" s="13" t="inlineStr">
        <is>
          <t>RFID100009</t>
        </is>
      </c>
      <c r="D26" s="13" t="inlineStr">
        <is>
          <t>Brucellosis</t>
        </is>
      </c>
      <c r="E26" s="13" t="inlineStr">
        <is>
          <t>2024-04-15</t>
        </is>
      </c>
      <c r="F26" s="13" t="inlineStr">
        <is>
          <t>2024-10-12</t>
        </is>
      </c>
      <c r="G26" s="13" t="inlineStr">
        <is>
          <t>Dr. Sharma</t>
        </is>
      </c>
      <c r="H26" s="13" t="n">
        <v>9.4</v>
      </c>
      <c r="I26" s="13" t="inlineStr">
        <is>
          <t>Completed</t>
        </is>
      </c>
      <c r="J26" s="13" t="inlineStr">
        <is>
          <t>Routine</t>
        </is>
      </c>
    </row>
    <row r="27" ht="15" customHeight="1" s="11">
      <c r="A27" s="14" t="n">
        <v>26</v>
      </c>
      <c r="B27" s="14" t="inlineStr">
        <is>
          <t>COW010</t>
        </is>
      </c>
      <c r="C27" s="14" t="inlineStr">
        <is>
          <t>RFID100010</t>
        </is>
      </c>
      <c r="D27" s="14" t="inlineStr">
        <is>
          <t>FMD Vaccine</t>
        </is>
      </c>
      <c r="E27" s="14" t="inlineStr">
        <is>
          <t>2024-02-02</t>
        </is>
      </c>
      <c r="F27" s="14" t="inlineStr">
        <is>
          <t>2024-07-31</t>
        </is>
      </c>
      <c r="G27" s="14" t="inlineStr">
        <is>
          <t>Dr. Sharma</t>
        </is>
      </c>
      <c r="H27" s="14" t="n">
        <v>7.6</v>
      </c>
      <c r="I27" s="14" t="inlineStr">
        <is>
          <t>Completed</t>
        </is>
      </c>
      <c r="J27" s="14" t="inlineStr">
        <is>
          <t>Routine</t>
        </is>
      </c>
    </row>
    <row r="28" ht="15" customHeight="1" s="11">
      <c r="A28" s="13" t="n">
        <v>27</v>
      </c>
      <c r="B28" s="13" t="inlineStr">
        <is>
          <t>COW010</t>
        </is>
      </c>
      <c r="C28" s="13" t="inlineStr">
        <is>
          <t>RFID100010</t>
        </is>
      </c>
      <c r="D28" s="13" t="inlineStr">
        <is>
          <t>Brucellosis</t>
        </is>
      </c>
      <c r="E28" s="13" t="inlineStr">
        <is>
          <t>2024-02-03</t>
        </is>
      </c>
      <c r="F28" s="13" t="inlineStr">
        <is>
          <t>2024-08-01</t>
        </is>
      </c>
      <c r="G28" s="13" t="inlineStr">
        <is>
          <t>Dr. Sharma</t>
        </is>
      </c>
      <c r="H28" s="13" t="n">
        <v>4</v>
      </c>
      <c r="I28" s="13" t="inlineStr">
        <is>
          <t>Completed</t>
        </is>
      </c>
      <c r="J28" s="13" t="inlineStr">
        <is>
          <t>Routine</t>
        </is>
      </c>
    </row>
    <row r="29" ht="15" customHeight="1" s="11">
      <c r="A29" s="14" t="n">
        <v>28</v>
      </c>
      <c r="B29" s="14" t="inlineStr">
        <is>
          <t>COW010</t>
        </is>
      </c>
      <c r="C29" s="14" t="inlineStr">
        <is>
          <t>RFID100010</t>
        </is>
      </c>
      <c r="D29" s="14" t="inlineStr">
        <is>
          <t>BVD</t>
        </is>
      </c>
      <c r="E29" s="14" t="inlineStr">
        <is>
          <t>2024-03-23</t>
        </is>
      </c>
      <c r="F29" s="14" t="inlineStr">
        <is>
          <t>2024-09-19</t>
        </is>
      </c>
      <c r="G29" s="14" t="inlineStr">
        <is>
          <t>Dr. Sharma</t>
        </is>
      </c>
      <c r="H29" s="14" t="n">
        <v>8.6</v>
      </c>
      <c r="I29" s="14" t="inlineStr">
        <is>
          <t>Completed</t>
        </is>
      </c>
      <c r="J29" s="14" t="inlineStr">
        <is>
          <t>Routine</t>
        </is>
      </c>
    </row>
    <row r="30" ht="15" customHeight="1" s="11">
      <c r="A30" s="13" t="n">
        <v>29</v>
      </c>
      <c r="B30" s="13" t="inlineStr">
        <is>
          <t>COW010</t>
        </is>
      </c>
      <c r="C30" s="13" t="inlineStr">
        <is>
          <t>RFID100010</t>
        </is>
      </c>
      <c r="D30" s="13" t="inlineStr">
        <is>
          <t>IBR</t>
        </is>
      </c>
      <c r="E30" s="13" t="inlineStr">
        <is>
          <t>2024-04-10</t>
        </is>
      </c>
      <c r="F30" s="13" t="inlineStr">
        <is>
          <t>2024-10-07</t>
        </is>
      </c>
      <c r="G30" s="13" t="inlineStr">
        <is>
          <t>Dr. Sharma</t>
        </is>
      </c>
      <c r="H30" s="13" t="n">
        <v>5.9</v>
      </c>
      <c r="I30" s="13" t="inlineStr">
        <is>
          <t>Completed</t>
        </is>
      </c>
      <c r="J30" s="13" t="inlineStr">
        <is>
          <t>Routine</t>
        </is>
      </c>
    </row>
    <row r="31" ht="15" customHeight="1" s="11">
      <c r="A31" s="14" t="n">
        <v>30</v>
      </c>
      <c r="B31" s="14" t="inlineStr">
        <is>
          <t>COW011</t>
        </is>
      </c>
      <c r="C31" s="14" t="inlineStr">
        <is>
          <t>RFID100011</t>
        </is>
      </c>
      <c r="D31" s="14" t="inlineStr">
        <is>
          <t>FMD Vaccine</t>
        </is>
      </c>
      <c r="E31" s="14" t="inlineStr">
        <is>
          <t>2024-04-16</t>
        </is>
      </c>
      <c r="F31" s="14" t="inlineStr">
        <is>
          <t>2024-10-13</t>
        </is>
      </c>
      <c r="G31" s="14" t="inlineStr">
        <is>
          <t>Dr. Sharma</t>
        </is>
      </c>
      <c r="H31" s="14" t="n">
        <v>5</v>
      </c>
      <c r="I31" s="14" t="inlineStr">
        <is>
          <t>Completed</t>
        </is>
      </c>
      <c r="J31" s="14" t="inlineStr">
        <is>
          <t>Routine</t>
        </is>
      </c>
    </row>
    <row r="32" ht="15" customHeight="1" s="11">
      <c r="A32" s="13" t="n">
        <v>31</v>
      </c>
      <c r="B32" s="13" t="inlineStr">
        <is>
          <t>COW011</t>
        </is>
      </c>
      <c r="C32" s="13" t="inlineStr">
        <is>
          <t>RFID100011</t>
        </is>
      </c>
      <c r="D32" s="13" t="inlineStr">
        <is>
          <t>Brucellosis</t>
        </is>
      </c>
      <c r="E32" s="13" t="inlineStr">
        <is>
          <t>2024-01-20</t>
        </is>
      </c>
      <c r="F32" s="13" t="inlineStr">
        <is>
          <t>2024-07-18</t>
        </is>
      </c>
      <c r="G32" s="13" t="inlineStr">
        <is>
          <t>Dr. Sharma</t>
        </is>
      </c>
      <c r="H32" s="13" t="n">
        <v>7.1</v>
      </c>
      <c r="I32" s="13" t="inlineStr">
        <is>
          <t>Completed</t>
        </is>
      </c>
      <c r="J32" s="13" t="inlineStr">
        <is>
          <t>Routine</t>
        </is>
      </c>
    </row>
    <row r="33" ht="15" customHeight="1" s="11">
      <c r="A33" s="14" t="n">
        <v>32</v>
      </c>
      <c r="B33" s="14" t="inlineStr">
        <is>
          <t>COW011</t>
        </is>
      </c>
      <c r="C33" s="14" t="inlineStr">
        <is>
          <t>RFID100011</t>
        </is>
      </c>
      <c r="D33" s="14" t="inlineStr">
        <is>
          <t>BVD</t>
        </is>
      </c>
      <c r="E33" s="14" t="inlineStr">
        <is>
          <t>2024-01-24</t>
        </is>
      </c>
      <c r="F33" s="14" t="inlineStr">
        <is>
          <t>2024-07-22</t>
        </is>
      </c>
      <c r="G33" s="14" t="inlineStr">
        <is>
          <t>Dr. Sharma</t>
        </is>
      </c>
      <c r="H33" s="14" t="n">
        <v>5.2</v>
      </c>
      <c r="I33" s="14" t="inlineStr">
        <is>
          <t>Completed</t>
        </is>
      </c>
      <c r="J33" s="14" t="inlineStr">
        <is>
          <t>Routine</t>
        </is>
      </c>
    </row>
    <row r="34" ht="15" customHeight="1" s="11">
      <c r="A34" s="13" t="n">
        <v>33</v>
      </c>
      <c r="B34" s="13" t="inlineStr">
        <is>
          <t>COW011</t>
        </is>
      </c>
      <c r="C34" s="13" t="inlineStr">
        <is>
          <t>RFID100011</t>
        </is>
      </c>
      <c r="D34" s="13" t="inlineStr">
        <is>
          <t>IBR</t>
        </is>
      </c>
      <c r="E34" s="13" t="inlineStr">
        <is>
          <t>2024-03-12</t>
        </is>
      </c>
      <c r="F34" s="13" t="inlineStr">
        <is>
          <t>2024-09-08</t>
        </is>
      </c>
      <c r="G34" s="13" t="inlineStr">
        <is>
          <t>Dr. Sharma</t>
        </is>
      </c>
      <c r="H34" s="13" t="n">
        <v>7.6</v>
      </c>
      <c r="I34" s="13" t="inlineStr">
        <is>
          <t>Completed</t>
        </is>
      </c>
      <c r="J34" s="13" t="inlineStr">
        <is>
          <t>Routine</t>
        </is>
      </c>
    </row>
    <row r="35" ht="15" customHeight="1" s="11">
      <c r="A35" s="14" t="n">
        <v>34</v>
      </c>
      <c r="B35" s="14" t="inlineStr">
        <is>
          <t>COW012</t>
        </is>
      </c>
      <c r="C35" s="14" t="inlineStr">
        <is>
          <t>RFID100012</t>
        </is>
      </c>
      <c r="D35" s="14" t="inlineStr">
        <is>
          <t>FMD Vaccine</t>
        </is>
      </c>
      <c r="E35" s="14" t="inlineStr">
        <is>
          <t>2024-04-26</t>
        </is>
      </c>
      <c r="F35" s="14" t="inlineStr">
        <is>
          <t>2024-10-23</t>
        </is>
      </c>
      <c r="G35" s="14" t="inlineStr">
        <is>
          <t>Dr. Sharma</t>
        </is>
      </c>
      <c r="H35" s="14" t="n">
        <v>9.6</v>
      </c>
      <c r="I35" s="14" t="inlineStr">
        <is>
          <t>Completed</t>
        </is>
      </c>
      <c r="J35" s="14" t="inlineStr">
        <is>
          <t>Routine</t>
        </is>
      </c>
    </row>
    <row r="36" ht="15" customHeight="1" s="11">
      <c r="A36" s="13" t="n">
        <v>35</v>
      </c>
      <c r="B36" s="13" t="inlineStr">
        <is>
          <t>COW012</t>
        </is>
      </c>
      <c r="C36" s="13" t="inlineStr">
        <is>
          <t>RFID100012</t>
        </is>
      </c>
      <c r="D36" s="13" t="inlineStr">
        <is>
          <t>Brucellosis</t>
        </is>
      </c>
      <c r="E36" s="13" t="inlineStr">
        <is>
          <t>2024-03-24</t>
        </is>
      </c>
      <c r="F36" s="13" t="inlineStr">
        <is>
          <t>2024-09-20</t>
        </is>
      </c>
      <c r="G36" s="13" t="inlineStr">
        <is>
          <t>Dr. Sharma</t>
        </is>
      </c>
      <c r="H36" s="13" t="n">
        <v>6.7</v>
      </c>
      <c r="I36" s="13" t="inlineStr">
        <is>
          <t>Completed</t>
        </is>
      </c>
      <c r="J36" s="13" t="inlineStr">
        <is>
          <t>Routine</t>
        </is>
      </c>
    </row>
    <row r="37" ht="15" customHeight="1" s="11">
      <c r="A37" s="14" t="n">
        <v>36</v>
      </c>
      <c r="B37" s="14" t="inlineStr">
        <is>
          <t>COW012</t>
        </is>
      </c>
      <c r="C37" s="14" t="inlineStr">
        <is>
          <t>RFID100012</t>
        </is>
      </c>
      <c r="D37" s="14" t="inlineStr">
        <is>
          <t>BVD</t>
        </is>
      </c>
      <c r="E37" s="14" t="inlineStr">
        <is>
          <t>2024-01-24</t>
        </is>
      </c>
      <c r="F37" s="14" t="inlineStr">
        <is>
          <t>2024-07-22</t>
        </is>
      </c>
      <c r="G37" s="14" t="inlineStr">
        <is>
          <t>Dr. Sharma</t>
        </is>
      </c>
      <c r="H37" s="14" t="n">
        <v>7.8</v>
      </c>
      <c r="I37" s="14" t="inlineStr">
        <is>
          <t>Completed</t>
        </is>
      </c>
      <c r="J37" s="14" t="inlineStr">
        <is>
          <t>Routine</t>
        </is>
      </c>
    </row>
    <row r="38" ht="15" customHeight="1" s="11">
      <c r="A38" s="13" t="n">
        <v>37</v>
      </c>
      <c r="B38" s="13" t="inlineStr">
        <is>
          <t>COW012</t>
        </is>
      </c>
      <c r="C38" s="13" t="inlineStr">
        <is>
          <t>RFID100012</t>
        </is>
      </c>
      <c r="D38" s="13" t="inlineStr">
        <is>
          <t>IBR</t>
        </is>
      </c>
      <c r="E38" s="13" t="inlineStr">
        <is>
          <t>2024-04-27</t>
        </is>
      </c>
      <c r="F38" s="13" t="inlineStr">
        <is>
          <t>2024-10-24</t>
        </is>
      </c>
      <c r="G38" s="13" t="inlineStr">
        <is>
          <t>Dr. Sharma</t>
        </is>
      </c>
      <c r="H38" s="13" t="n">
        <v>7.1</v>
      </c>
      <c r="I38" s="13" t="inlineStr">
        <is>
          <t>Completed</t>
        </is>
      </c>
      <c r="J38" s="13" t="inlineStr">
        <is>
          <t>Routine</t>
        </is>
      </c>
    </row>
    <row r="39" ht="15" customHeight="1" s="11">
      <c r="A39" s="14" t="n">
        <v>38</v>
      </c>
      <c r="B39" s="14" t="inlineStr">
        <is>
          <t>COW013</t>
        </is>
      </c>
      <c r="C39" s="14" t="inlineStr">
        <is>
          <t>RFID100013</t>
        </is>
      </c>
      <c r="D39" s="14" t="inlineStr">
        <is>
          <t>FMD Vaccine</t>
        </is>
      </c>
      <c r="E39" s="14" t="inlineStr">
        <is>
          <t>2024-01-17</t>
        </is>
      </c>
      <c r="F39" s="14" t="inlineStr">
        <is>
          <t>2024-07-15</t>
        </is>
      </c>
      <c r="G39" s="14" t="inlineStr">
        <is>
          <t>Dr. Sharma</t>
        </is>
      </c>
      <c r="H39" s="14" t="n">
        <v>8.4</v>
      </c>
      <c r="I39" s="14" t="inlineStr">
        <is>
          <t>Completed</t>
        </is>
      </c>
      <c r="J39" s="14" t="inlineStr">
        <is>
          <t>Routine</t>
        </is>
      </c>
    </row>
    <row r="40" ht="15" customHeight="1" s="11">
      <c r="A40" s="13" t="n">
        <v>39</v>
      </c>
      <c r="B40" s="13" t="inlineStr">
        <is>
          <t>COW013</t>
        </is>
      </c>
      <c r="C40" s="13" t="inlineStr">
        <is>
          <t>RFID100013</t>
        </is>
      </c>
      <c r="D40" s="13" t="inlineStr">
        <is>
          <t>Brucellosis</t>
        </is>
      </c>
      <c r="E40" s="13" t="inlineStr">
        <is>
          <t>2024-04-11</t>
        </is>
      </c>
      <c r="F40" s="13" t="inlineStr">
        <is>
          <t>2024-10-08</t>
        </is>
      </c>
      <c r="G40" s="13" t="inlineStr">
        <is>
          <t>Dr. Sharma</t>
        </is>
      </c>
      <c r="H40" s="13" t="n">
        <v>3.7</v>
      </c>
      <c r="I40" s="13" t="inlineStr">
        <is>
          <t>Completed</t>
        </is>
      </c>
      <c r="J40" s="13" t="inlineStr">
        <is>
          <t>Routine</t>
        </is>
      </c>
    </row>
    <row r="41" ht="15" customHeight="1" s="11">
      <c r="A41" s="14" t="n">
        <v>40</v>
      </c>
      <c r="B41" s="14" t="inlineStr">
        <is>
          <t>COW013</t>
        </is>
      </c>
      <c r="C41" s="14" t="inlineStr">
        <is>
          <t>RFID100013</t>
        </is>
      </c>
      <c r="D41" s="14" t="inlineStr">
        <is>
          <t>BVD</t>
        </is>
      </c>
      <c r="E41" s="14" t="inlineStr">
        <is>
          <t>2024-04-19</t>
        </is>
      </c>
      <c r="F41" s="14" t="inlineStr">
        <is>
          <t>2024-10-16</t>
        </is>
      </c>
      <c r="G41" s="14" t="inlineStr">
        <is>
          <t>Dr. Sharma</t>
        </is>
      </c>
      <c r="H41" s="14" t="n">
        <v>8.6</v>
      </c>
      <c r="I41" s="14" t="inlineStr">
        <is>
          <t>Completed</t>
        </is>
      </c>
      <c r="J41" s="14" t="inlineStr">
        <is>
          <t>Routine</t>
        </is>
      </c>
    </row>
    <row r="42" ht="15" customHeight="1" s="11">
      <c r="A42" s="13" t="n">
        <v>41</v>
      </c>
      <c r="B42" s="13" t="inlineStr">
        <is>
          <t>COW013</t>
        </is>
      </c>
      <c r="C42" s="13" t="inlineStr">
        <is>
          <t>RFID100013</t>
        </is>
      </c>
      <c r="D42" s="13" t="inlineStr">
        <is>
          <t>IBR</t>
        </is>
      </c>
      <c r="E42" s="13" t="inlineStr">
        <is>
          <t>2024-05-06</t>
        </is>
      </c>
      <c r="F42" s="13" t="inlineStr">
        <is>
          <t>2024-11-02</t>
        </is>
      </c>
      <c r="G42" s="13" t="inlineStr">
        <is>
          <t>Dr. Sharma</t>
        </is>
      </c>
      <c r="H42" s="13" t="n">
        <v>4.1</v>
      </c>
      <c r="I42" s="13" t="inlineStr">
        <is>
          <t>Completed</t>
        </is>
      </c>
      <c r="J42" s="13" t="inlineStr">
        <is>
          <t>Routine</t>
        </is>
      </c>
    </row>
    <row r="43" ht="15" customHeight="1" s="11">
      <c r="A43" s="14" t="n">
        <v>42</v>
      </c>
      <c r="B43" s="14" t="inlineStr">
        <is>
          <t>COW014</t>
        </is>
      </c>
      <c r="C43" s="14" t="inlineStr">
        <is>
          <t>RFID100014</t>
        </is>
      </c>
      <c r="D43" s="14" t="inlineStr">
        <is>
          <t>FMD Vaccine</t>
        </is>
      </c>
      <c r="E43" s="14" t="inlineStr">
        <is>
          <t>2024-03-27</t>
        </is>
      </c>
      <c r="F43" s="14" t="inlineStr">
        <is>
          <t>2024-09-23</t>
        </is>
      </c>
      <c r="G43" s="14" t="inlineStr">
        <is>
          <t>Dr. Sharma</t>
        </is>
      </c>
      <c r="H43" s="14" t="n">
        <v>6.4</v>
      </c>
      <c r="I43" s="14" t="inlineStr">
        <is>
          <t>Completed</t>
        </is>
      </c>
      <c r="J43" s="14" t="inlineStr">
        <is>
          <t>Routine</t>
        </is>
      </c>
    </row>
    <row r="44" ht="15" customHeight="1" s="11">
      <c r="A44" s="13" t="n">
        <v>43</v>
      </c>
      <c r="B44" s="13" t="inlineStr">
        <is>
          <t>COW014</t>
        </is>
      </c>
      <c r="C44" s="13" t="inlineStr">
        <is>
          <t>RFID100014</t>
        </is>
      </c>
      <c r="D44" s="13" t="inlineStr">
        <is>
          <t>Brucellosis</t>
        </is>
      </c>
      <c r="E44" s="13" t="inlineStr">
        <is>
          <t>2024-02-03</t>
        </is>
      </c>
      <c r="F44" s="13" t="inlineStr">
        <is>
          <t>2024-08-01</t>
        </is>
      </c>
      <c r="G44" s="13" t="inlineStr">
        <is>
          <t>Dr. Sharma</t>
        </is>
      </c>
      <c r="H44" s="13" t="n">
        <v>6.5</v>
      </c>
      <c r="I44" s="13" t="inlineStr">
        <is>
          <t>Completed</t>
        </is>
      </c>
      <c r="J44" s="13" t="inlineStr">
        <is>
          <t>Routine</t>
        </is>
      </c>
    </row>
    <row r="45" ht="15" customHeight="1" s="11">
      <c r="A45" s="14" t="n">
        <v>44</v>
      </c>
      <c r="B45" s="14" t="inlineStr">
        <is>
          <t>COW014</t>
        </is>
      </c>
      <c r="C45" s="14" t="inlineStr">
        <is>
          <t>RFID100014</t>
        </is>
      </c>
      <c r="D45" s="14" t="inlineStr">
        <is>
          <t>BVD</t>
        </is>
      </c>
      <c r="E45" s="14" t="inlineStr">
        <is>
          <t>2024-05-04</t>
        </is>
      </c>
      <c r="F45" s="14" t="inlineStr">
        <is>
          <t>2024-10-31</t>
        </is>
      </c>
      <c r="G45" s="14" t="inlineStr">
        <is>
          <t>Dr. Sharma</t>
        </is>
      </c>
      <c r="H45" s="14" t="n">
        <v>8.300000000000001</v>
      </c>
      <c r="I45" s="14" t="inlineStr">
        <is>
          <t>Completed</t>
        </is>
      </c>
      <c r="J45" s="14" t="inlineStr">
        <is>
          <t>Routine</t>
        </is>
      </c>
    </row>
    <row r="46" ht="15" customHeight="1" s="11">
      <c r="A46" s="13" t="n">
        <v>45</v>
      </c>
      <c r="B46" s="13" t="inlineStr">
        <is>
          <t>COW014</t>
        </is>
      </c>
      <c r="C46" s="13" t="inlineStr">
        <is>
          <t>RFID100014</t>
        </is>
      </c>
      <c r="D46" s="13" t="inlineStr">
        <is>
          <t>IBR</t>
        </is>
      </c>
      <c r="E46" s="13" t="inlineStr">
        <is>
          <t>2024-01-13</t>
        </is>
      </c>
      <c r="F46" s="13" t="inlineStr">
        <is>
          <t>2024-07-11</t>
        </is>
      </c>
      <c r="G46" s="13" t="inlineStr">
        <is>
          <t>Dr. Sharma</t>
        </is>
      </c>
      <c r="H46" s="13" t="n">
        <v>2.4</v>
      </c>
      <c r="I46" s="13" t="inlineStr">
        <is>
          <t>Completed</t>
        </is>
      </c>
      <c r="J46" s="13" t="inlineStr">
        <is>
          <t>Routine</t>
        </is>
      </c>
    </row>
    <row r="47" ht="15" customHeight="1" s="11">
      <c r="A47" s="14" t="n">
        <v>46</v>
      </c>
      <c r="B47" s="14" t="inlineStr">
        <is>
          <t>COW015</t>
        </is>
      </c>
      <c r="C47" s="14" t="inlineStr">
        <is>
          <t>RFID100015</t>
        </is>
      </c>
      <c r="D47" s="14" t="inlineStr">
        <is>
          <t>FMD Vaccine</t>
        </is>
      </c>
      <c r="E47" s="14" t="inlineStr">
        <is>
          <t>2024-01-05</t>
        </is>
      </c>
      <c r="F47" s="14" t="inlineStr">
        <is>
          <t>2024-07-03</t>
        </is>
      </c>
      <c r="G47" s="14" t="inlineStr">
        <is>
          <t>Dr. Sharma</t>
        </is>
      </c>
      <c r="H47" s="14" t="n">
        <v>3</v>
      </c>
      <c r="I47" s="14" t="inlineStr">
        <is>
          <t>Completed</t>
        </is>
      </c>
      <c r="J47" s="14" t="inlineStr">
        <is>
          <t>Routine</t>
        </is>
      </c>
    </row>
    <row r="48" ht="15" customHeight="1" s="11">
      <c r="A48" s="13" t="n">
        <v>47</v>
      </c>
      <c r="B48" s="13" t="inlineStr">
        <is>
          <t>COW015</t>
        </is>
      </c>
      <c r="C48" s="13" t="inlineStr">
        <is>
          <t>RFID100015</t>
        </is>
      </c>
      <c r="D48" s="13" t="inlineStr">
        <is>
          <t>Brucellosis</t>
        </is>
      </c>
      <c r="E48" s="13" t="inlineStr">
        <is>
          <t>2024-02-10</t>
        </is>
      </c>
      <c r="F48" s="13" t="inlineStr">
        <is>
          <t>2024-08-08</t>
        </is>
      </c>
      <c r="G48" s="13" t="inlineStr">
        <is>
          <t>Dr. Sharma</t>
        </is>
      </c>
      <c r="H48" s="13" t="n">
        <v>5.5</v>
      </c>
      <c r="I48" s="13" t="inlineStr">
        <is>
          <t>Completed</t>
        </is>
      </c>
      <c r="J48" s="13" t="inlineStr">
        <is>
          <t>Routine</t>
        </is>
      </c>
    </row>
    <row r="49" ht="15" customHeight="1" s="11">
      <c r="A49" s="14" t="n">
        <v>48</v>
      </c>
      <c r="B49" s="14" t="inlineStr">
        <is>
          <t>COW015</t>
        </is>
      </c>
      <c r="C49" s="14" t="inlineStr">
        <is>
          <t>RFID100015</t>
        </is>
      </c>
      <c r="D49" s="14" t="inlineStr">
        <is>
          <t>BVD</t>
        </is>
      </c>
      <c r="E49" s="14" t="inlineStr">
        <is>
          <t>2024-01-01</t>
        </is>
      </c>
      <c r="F49" s="14" t="inlineStr">
        <is>
          <t>2024-06-29</t>
        </is>
      </c>
      <c r="G49" s="14" t="inlineStr">
        <is>
          <t>Dr. Sharma</t>
        </is>
      </c>
      <c r="H49" s="14" t="n">
        <v>9.9</v>
      </c>
      <c r="I49" s="14" t="inlineStr">
        <is>
          <t>Completed</t>
        </is>
      </c>
      <c r="J49" s="14" t="inlineStr">
        <is>
          <t>Routine</t>
        </is>
      </c>
    </row>
    <row r="50" ht="15" customHeight="1" s="11">
      <c r="A50" s="13" t="n">
        <v>49</v>
      </c>
      <c r="B50" s="13" t="inlineStr">
        <is>
          <t>COW015</t>
        </is>
      </c>
      <c r="C50" s="13" t="inlineStr">
        <is>
          <t>RFID100015</t>
        </is>
      </c>
      <c r="D50" s="13" t="inlineStr">
        <is>
          <t>IBR</t>
        </is>
      </c>
      <c r="E50" s="13" t="inlineStr">
        <is>
          <t>2024-04-19</t>
        </is>
      </c>
      <c r="F50" s="13" t="inlineStr">
        <is>
          <t>2024-10-16</t>
        </is>
      </c>
      <c r="G50" s="13" t="inlineStr">
        <is>
          <t>Dr. Sharma</t>
        </is>
      </c>
      <c r="H50" s="13" t="n">
        <v>3.6</v>
      </c>
      <c r="I50" s="13" t="inlineStr">
        <is>
          <t>Completed</t>
        </is>
      </c>
      <c r="J50" s="13" t="inlineStr">
        <is>
          <t>Routine</t>
        </is>
      </c>
    </row>
    <row r="51" ht="15" customHeight="1" s="11">
      <c r="A51" s="14" t="n">
        <v>50</v>
      </c>
      <c r="B51" s="14" t="inlineStr">
        <is>
          <t>COW015</t>
        </is>
      </c>
      <c r="C51" s="14" t="inlineStr">
        <is>
          <t>RFID100015</t>
        </is>
      </c>
      <c r="D51" s="14" t="inlineStr">
        <is>
          <t>Leptospirosis</t>
        </is>
      </c>
      <c r="E51" s="14" t="inlineStr">
        <is>
          <t>2024-02-03</t>
        </is>
      </c>
      <c r="F51" s="14" t="inlineStr">
        <is>
          <t>2024-08-01</t>
        </is>
      </c>
      <c r="G51" s="14" t="inlineStr">
        <is>
          <t>Dr. Sharma</t>
        </is>
      </c>
      <c r="H51" s="14" t="n">
        <v>9.1</v>
      </c>
      <c r="I51" s="14" t="inlineStr">
        <is>
          <t>Completed</t>
        </is>
      </c>
      <c r="J51" s="14" t="inlineStr">
        <is>
          <t>Routine</t>
        </is>
      </c>
    </row>
    <row r="52" ht="15" customHeight="1" s="11">
      <c r="A52" s="13" t="n">
        <v>51</v>
      </c>
      <c r="B52" s="13" t="inlineStr">
        <is>
          <t>COW016</t>
        </is>
      </c>
      <c r="C52" s="13" t="inlineStr">
        <is>
          <t>RFID100016</t>
        </is>
      </c>
      <c r="D52" s="13" t="inlineStr">
        <is>
          <t>FMD Vaccine</t>
        </is>
      </c>
      <c r="E52" s="13" t="inlineStr">
        <is>
          <t>2024-02-10</t>
        </is>
      </c>
      <c r="F52" s="13" t="inlineStr">
        <is>
          <t>2024-08-08</t>
        </is>
      </c>
      <c r="G52" s="13" t="inlineStr">
        <is>
          <t>Dr. Sharma</t>
        </is>
      </c>
      <c r="H52" s="13" t="n">
        <v>9</v>
      </c>
      <c r="I52" s="13" t="inlineStr">
        <is>
          <t>Completed</t>
        </is>
      </c>
      <c r="J52" s="13" t="inlineStr">
        <is>
          <t>Routine</t>
        </is>
      </c>
    </row>
    <row r="53" ht="15" customHeight="1" s="11">
      <c r="A53" s="14" t="n">
        <v>52</v>
      </c>
      <c r="B53" s="14" t="inlineStr">
        <is>
          <t>COW016</t>
        </is>
      </c>
      <c r="C53" s="14" t="inlineStr">
        <is>
          <t>RFID100016</t>
        </is>
      </c>
      <c r="D53" s="14" t="inlineStr">
        <is>
          <t>Brucellosis</t>
        </is>
      </c>
      <c r="E53" s="14" t="inlineStr">
        <is>
          <t>2024-03-11</t>
        </is>
      </c>
      <c r="F53" s="14" t="inlineStr">
        <is>
          <t>2024-09-07</t>
        </is>
      </c>
      <c r="G53" s="14" t="inlineStr">
        <is>
          <t>Dr. Sharma</t>
        </is>
      </c>
      <c r="H53" s="14" t="n">
        <v>2.7</v>
      </c>
      <c r="I53" s="14" t="inlineStr">
        <is>
          <t>Completed</t>
        </is>
      </c>
      <c r="J53" s="14" t="inlineStr">
        <is>
          <t>Routine</t>
        </is>
      </c>
    </row>
    <row r="54" ht="15" customHeight="1" s="11">
      <c r="A54" s="13" t="n">
        <v>53</v>
      </c>
      <c r="B54" s="13" t="inlineStr">
        <is>
          <t>COW016</t>
        </is>
      </c>
      <c r="C54" s="13" t="inlineStr">
        <is>
          <t>RFID100016</t>
        </is>
      </c>
      <c r="D54" s="13" t="inlineStr">
        <is>
          <t>BVD</t>
        </is>
      </c>
      <c r="E54" s="13" t="inlineStr">
        <is>
          <t>2024-04-02</t>
        </is>
      </c>
      <c r="F54" s="13" t="inlineStr">
        <is>
          <t>2024-09-29</t>
        </is>
      </c>
      <c r="G54" s="13" t="inlineStr">
        <is>
          <t>Dr. Sharma</t>
        </is>
      </c>
      <c r="H54" s="13" t="n">
        <v>4</v>
      </c>
      <c r="I54" s="13" t="inlineStr">
        <is>
          <t>Completed</t>
        </is>
      </c>
      <c r="J54" s="13" t="inlineStr">
        <is>
          <t>Routine</t>
        </is>
      </c>
    </row>
    <row r="55" ht="15" customHeight="1" s="11">
      <c r="A55" s="14" t="n">
        <v>54</v>
      </c>
      <c r="B55" s="14" t="inlineStr">
        <is>
          <t>COW016</t>
        </is>
      </c>
      <c r="C55" s="14" t="inlineStr">
        <is>
          <t>RFID100016</t>
        </is>
      </c>
      <c r="D55" s="14" t="inlineStr">
        <is>
          <t>IBR</t>
        </is>
      </c>
      <c r="E55" s="14" t="inlineStr">
        <is>
          <t>2024-04-05</t>
        </is>
      </c>
      <c r="F55" s="14" t="inlineStr">
        <is>
          <t>2024-10-02</t>
        </is>
      </c>
      <c r="G55" s="14" t="inlineStr">
        <is>
          <t>Dr. Sharma</t>
        </is>
      </c>
      <c r="H55" s="14" t="n">
        <v>7.3</v>
      </c>
      <c r="I55" s="14" t="inlineStr">
        <is>
          <t>Completed</t>
        </is>
      </c>
      <c r="J55" s="14" t="inlineStr">
        <is>
          <t>Routine</t>
        </is>
      </c>
    </row>
    <row r="56" ht="15" customHeight="1" s="11">
      <c r="A56" s="13" t="n">
        <v>55</v>
      </c>
      <c r="B56" s="13" t="inlineStr">
        <is>
          <t>COW017</t>
        </is>
      </c>
      <c r="C56" s="13" t="inlineStr">
        <is>
          <t>RFID100017</t>
        </is>
      </c>
      <c r="D56" s="13" t="inlineStr">
        <is>
          <t>FMD Vaccine</t>
        </is>
      </c>
      <c r="E56" s="13" t="inlineStr">
        <is>
          <t>2024-01-14</t>
        </is>
      </c>
      <c r="F56" s="13" t="inlineStr">
        <is>
          <t>2024-07-12</t>
        </is>
      </c>
      <c r="G56" s="13" t="inlineStr">
        <is>
          <t>Dr. Sharma</t>
        </is>
      </c>
      <c r="H56" s="13" t="n">
        <v>5.2</v>
      </c>
      <c r="I56" s="13" t="inlineStr">
        <is>
          <t>Completed</t>
        </is>
      </c>
      <c r="J56" s="13" t="inlineStr">
        <is>
          <t>Routine</t>
        </is>
      </c>
    </row>
    <row r="57" ht="15" customHeight="1" s="11">
      <c r="A57" s="14" t="n">
        <v>56</v>
      </c>
      <c r="B57" s="14" t="inlineStr">
        <is>
          <t>COW017</t>
        </is>
      </c>
      <c r="C57" s="14" t="inlineStr">
        <is>
          <t>RFID100017</t>
        </is>
      </c>
      <c r="D57" s="14" t="inlineStr">
        <is>
          <t>Brucellosis</t>
        </is>
      </c>
      <c r="E57" s="14" t="inlineStr">
        <is>
          <t>2024-03-19</t>
        </is>
      </c>
      <c r="F57" s="14" t="inlineStr">
        <is>
          <t>2024-09-15</t>
        </is>
      </c>
      <c r="G57" s="14" t="inlineStr">
        <is>
          <t>Dr. Sharma</t>
        </is>
      </c>
      <c r="H57" s="14" t="n">
        <v>7.8</v>
      </c>
      <c r="I57" s="14" t="inlineStr">
        <is>
          <t>Completed</t>
        </is>
      </c>
      <c r="J57" s="14" t="inlineStr">
        <is>
          <t>Routine</t>
        </is>
      </c>
    </row>
    <row r="58" ht="15" customHeight="1" s="11">
      <c r="A58" s="13" t="n">
        <v>57</v>
      </c>
      <c r="B58" s="13" t="inlineStr">
        <is>
          <t>COW017</t>
        </is>
      </c>
      <c r="C58" s="13" t="inlineStr">
        <is>
          <t>RFID100017</t>
        </is>
      </c>
      <c r="D58" s="13" t="inlineStr">
        <is>
          <t>BVD</t>
        </is>
      </c>
      <c r="E58" s="13" t="inlineStr">
        <is>
          <t>2024-02-29</t>
        </is>
      </c>
      <c r="F58" s="13" t="inlineStr">
        <is>
          <t>2024-08-27</t>
        </is>
      </c>
      <c r="G58" s="13" t="inlineStr">
        <is>
          <t>Dr. Sharma</t>
        </is>
      </c>
      <c r="H58" s="13" t="n">
        <v>5.4</v>
      </c>
      <c r="I58" s="13" t="inlineStr">
        <is>
          <t>Completed</t>
        </is>
      </c>
      <c r="J58" s="13" t="inlineStr">
        <is>
          <t>Routine</t>
        </is>
      </c>
    </row>
    <row r="59" ht="15" customHeight="1" s="11">
      <c r="A59" s="14" t="n">
        <v>58</v>
      </c>
      <c r="B59" s="14" t="inlineStr">
        <is>
          <t>COW018</t>
        </is>
      </c>
      <c r="C59" s="14" t="inlineStr">
        <is>
          <t>RFID100018</t>
        </is>
      </c>
      <c r="D59" s="14" t="inlineStr">
        <is>
          <t>FMD Vaccine</t>
        </is>
      </c>
      <c r="E59" s="14" t="inlineStr">
        <is>
          <t>2024-01-25</t>
        </is>
      </c>
      <c r="F59" s="14" t="inlineStr">
        <is>
          <t>2024-07-23</t>
        </is>
      </c>
      <c r="G59" s="14" t="inlineStr">
        <is>
          <t>Dr. Sharma</t>
        </is>
      </c>
      <c r="H59" s="14" t="n">
        <v>2</v>
      </c>
      <c r="I59" s="14" t="inlineStr">
        <is>
          <t>Completed</t>
        </is>
      </c>
      <c r="J59" s="14" t="inlineStr">
        <is>
          <t>Routine</t>
        </is>
      </c>
    </row>
    <row r="60" ht="15" customHeight="1" s="11">
      <c r="A60" s="13" t="n">
        <v>59</v>
      </c>
      <c r="B60" s="13" t="inlineStr">
        <is>
          <t>COW018</t>
        </is>
      </c>
      <c r="C60" s="13" t="inlineStr">
        <is>
          <t>RFID100018</t>
        </is>
      </c>
      <c r="D60" s="13" t="inlineStr">
        <is>
          <t>Brucellosis</t>
        </is>
      </c>
      <c r="E60" s="13" t="inlineStr">
        <is>
          <t>2024-05-02</t>
        </is>
      </c>
      <c r="F60" s="13" t="inlineStr">
        <is>
          <t>2024-10-29</t>
        </is>
      </c>
      <c r="G60" s="13" t="inlineStr">
        <is>
          <t>Dr. Sharma</t>
        </is>
      </c>
      <c r="H60" s="13" t="n">
        <v>2.6</v>
      </c>
      <c r="I60" s="13" t="inlineStr">
        <is>
          <t>Completed</t>
        </is>
      </c>
      <c r="J60" s="13" t="inlineStr">
        <is>
          <t>Routine</t>
        </is>
      </c>
    </row>
    <row r="61" ht="15" customHeight="1" s="11">
      <c r="A61" s="14" t="n">
        <v>60</v>
      </c>
      <c r="B61" s="14" t="inlineStr">
        <is>
          <t>COW019</t>
        </is>
      </c>
      <c r="C61" s="14" t="inlineStr">
        <is>
          <t>RFID100019</t>
        </is>
      </c>
      <c r="D61" s="14" t="inlineStr">
        <is>
          <t>FMD Vaccine</t>
        </is>
      </c>
      <c r="E61" s="14" t="inlineStr">
        <is>
          <t>2024-05-12</t>
        </is>
      </c>
      <c r="F61" s="14" t="inlineStr">
        <is>
          <t>2024-11-08</t>
        </is>
      </c>
      <c r="G61" s="14" t="inlineStr">
        <is>
          <t>Dr. Sharma</t>
        </is>
      </c>
      <c r="H61" s="14" t="n">
        <v>7.4</v>
      </c>
      <c r="I61" s="14" t="inlineStr">
        <is>
          <t>Completed</t>
        </is>
      </c>
      <c r="J61" s="14" t="inlineStr">
        <is>
          <t>Routine</t>
        </is>
      </c>
    </row>
    <row r="62" ht="15" customHeight="1" s="11">
      <c r="A62" s="13" t="n">
        <v>61</v>
      </c>
      <c r="B62" s="13" t="inlineStr">
        <is>
          <t>COW019</t>
        </is>
      </c>
      <c r="C62" s="13" t="inlineStr">
        <is>
          <t>RFID100019</t>
        </is>
      </c>
      <c r="D62" s="13" t="inlineStr">
        <is>
          <t>Brucellosis</t>
        </is>
      </c>
      <c r="E62" s="13" t="inlineStr">
        <is>
          <t>2024-01-03</t>
        </is>
      </c>
      <c r="F62" s="13" t="inlineStr">
        <is>
          <t>2024-07-01</t>
        </is>
      </c>
      <c r="G62" s="13" t="inlineStr">
        <is>
          <t>Dr. Sharma</t>
        </is>
      </c>
      <c r="H62" s="13" t="n">
        <v>2.1</v>
      </c>
      <c r="I62" s="13" t="inlineStr">
        <is>
          <t>Completed</t>
        </is>
      </c>
      <c r="J62" s="13" t="inlineStr">
        <is>
          <t>Routine</t>
        </is>
      </c>
    </row>
    <row r="63" ht="15" customHeight="1" s="11">
      <c r="A63" s="14" t="n">
        <v>62</v>
      </c>
      <c r="B63" s="14" t="inlineStr">
        <is>
          <t>COW019</t>
        </is>
      </c>
      <c r="C63" s="14" t="inlineStr">
        <is>
          <t>RFID100019</t>
        </is>
      </c>
      <c r="D63" s="14" t="inlineStr">
        <is>
          <t>BVD</t>
        </is>
      </c>
      <c r="E63" s="14" t="inlineStr">
        <is>
          <t>2024-03-28</t>
        </is>
      </c>
      <c r="F63" s="14" t="inlineStr">
        <is>
          <t>2024-09-24</t>
        </is>
      </c>
      <c r="G63" s="14" t="inlineStr">
        <is>
          <t>Dr. Sharma</t>
        </is>
      </c>
      <c r="H63" s="14" t="n">
        <v>8.5</v>
      </c>
      <c r="I63" s="14" t="inlineStr">
        <is>
          <t>Completed</t>
        </is>
      </c>
      <c r="J63" s="14" t="inlineStr">
        <is>
          <t>Routine</t>
        </is>
      </c>
    </row>
    <row r="64" ht="15" customHeight="1" s="11">
      <c r="A64" s="13" t="n">
        <v>63</v>
      </c>
      <c r="B64" s="13" t="inlineStr">
        <is>
          <t>COW020</t>
        </is>
      </c>
      <c r="C64" s="13" t="inlineStr">
        <is>
          <t>RFID100020</t>
        </is>
      </c>
      <c r="D64" s="13" t="inlineStr">
        <is>
          <t>FMD Vaccine</t>
        </is>
      </c>
      <c r="E64" s="13" t="inlineStr">
        <is>
          <t>2024-02-03</t>
        </is>
      </c>
      <c r="F64" s="13" t="inlineStr">
        <is>
          <t>2024-08-01</t>
        </is>
      </c>
      <c r="G64" s="13" t="inlineStr">
        <is>
          <t>Dr. Sharma</t>
        </is>
      </c>
      <c r="H64" s="13" t="n">
        <v>5.8</v>
      </c>
      <c r="I64" s="13" t="inlineStr">
        <is>
          <t>Completed</t>
        </is>
      </c>
      <c r="J64" s="13" t="inlineStr">
        <is>
          <t>Routine</t>
        </is>
      </c>
    </row>
    <row r="65" ht="15" customHeight="1" s="11">
      <c r="A65" s="14" t="n">
        <v>64</v>
      </c>
      <c r="B65" s="14" t="inlineStr">
        <is>
          <t>COW020</t>
        </is>
      </c>
      <c r="C65" s="14" t="inlineStr">
        <is>
          <t>RFID100020</t>
        </is>
      </c>
      <c r="D65" s="14" t="inlineStr">
        <is>
          <t>Brucellosis</t>
        </is>
      </c>
      <c r="E65" s="14" t="inlineStr">
        <is>
          <t>2024-02-28</t>
        </is>
      </c>
      <c r="F65" s="14" t="inlineStr">
        <is>
          <t>2024-08-26</t>
        </is>
      </c>
      <c r="G65" s="14" t="inlineStr">
        <is>
          <t>Dr. Sharma</t>
        </is>
      </c>
      <c r="H65" s="14" t="n">
        <v>5.1</v>
      </c>
      <c r="I65" s="14" t="inlineStr">
        <is>
          <t>Completed</t>
        </is>
      </c>
      <c r="J65" s="14" t="inlineStr">
        <is>
          <t>Routine</t>
        </is>
      </c>
    </row>
    <row r="66" ht="15" customHeight="1" s="11">
      <c r="A66" s="13" t="n">
        <v>65</v>
      </c>
      <c r="B66" s="13" t="inlineStr">
        <is>
          <t>COW020</t>
        </is>
      </c>
      <c r="C66" s="13" t="inlineStr">
        <is>
          <t>RFID100020</t>
        </is>
      </c>
      <c r="D66" s="13" t="inlineStr">
        <is>
          <t>BVD</t>
        </is>
      </c>
      <c r="E66" s="13" t="inlineStr">
        <is>
          <t>2024-01-27</t>
        </is>
      </c>
      <c r="F66" s="13" t="inlineStr">
        <is>
          <t>2024-07-25</t>
        </is>
      </c>
      <c r="G66" s="13" t="inlineStr">
        <is>
          <t>Dr. Sharma</t>
        </is>
      </c>
      <c r="H66" s="13" t="n">
        <v>2.8</v>
      </c>
      <c r="I66" s="13" t="inlineStr">
        <is>
          <t>Completed</t>
        </is>
      </c>
      <c r="J66" s="13" t="inlineStr">
        <is>
          <t>Routine</t>
        </is>
      </c>
    </row>
    <row r="67" ht="15" customHeight="1" s="11">
      <c r="A67" s="14" t="n">
        <v>66</v>
      </c>
      <c r="B67" s="14" t="inlineStr">
        <is>
          <t>COW020</t>
        </is>
      </c>
      <c r="C67" s="14" t="inlineStr">
        <is>
          <t>RFID100020</t>
        </is>
      </c>
      <c r="D67" s="14" t="inlineStr">
        <is>
          <t>IBR</t>
        </is>
      </c>
      <c r="E67" s="14" t="inlineStr">
        <is>
          <t>2024-04-04</t>
        </is>
      </c>
      <c r="F67" s="14" t="inlineStr">
        <is>
          <t>2024-10-01</t>
        </is>
      </c>
      <c r="G67" s="14" t="inlineStr">
        <is>
          <t>Dr. Sharma</t>
        </is>
      </c>
      <c r="H67" s="14" t="n">
        <v>9</v>
      </c>
      <c r="I67" s="14" t="inlineStr">
        <is>
          <t>Completed</t>
        </is>
      </c>
      <c r="J67" s="14" t="inlineStr">
        <is>
          <t>Routine</t>
        </is>
      </c>
    </row>
    <row r="68" ht="15" customHeight="1" s="11">
      <c r="A68" s="13" t="n">
        <v>67</v>
      </c>
      <c r="B68" s="13" t="inlineStr">
        <is>
          <t>COW020</t>
        </is>
      </c>
      <c r="C68" s="13" t="inlineStr">
        <is>
          <t>RFID100020</t>
        </is>
      </c>
      <c r="D68" s="13" t="inlineStr">
        <is>
          <t>Leptospirosis</t>
        </is>
      </c>
      <c r="E68" s="13" t="inlineStr">
        <is>
          <t>2024-02-05</t>
        </is>
      </c>
      <c r="F68" s="13" t="inlineStr">
        <is>
          <t>2024-08-03</t>
        </is>
      </c>
      <c r="G68" s="13" t="inlineStr">
        <is>
          <t>Dr. Sharma</t>
        </is>
      </c>
      <c r="H68" s="13" t="n">
        <v>5.1</v>
      </c>
      <c r="I68" s="13" t="inlineStr">
        <is>
          <t>Completed</t>
        </is>
      </c>
      <c r="J68" s="13" t="inlineStr">
        <is>
          <t>Routine</t>
        </is>
      </c>
    </row>
    <row r="69" ht="15" customHeight="1" s="11">
      <c r="A69" s="14" t="n">
        <v>68</v>
      </c>
      <c r="B69" s="14" t="inlineStr">
        <is>
          <t>COW021</t>
        </is>
      </c>
      <c r="C69" s="14" t="inlineStr">
        <is>
          <t>RFID100021</t>
        </is>
      </c>
      <c r="D69" s="14" t="inlineStr">
        <is>
          <t>FMD Vaccine</t>
        </is>
      </c>
      <c r="E69" s="14" t="inlineStr">
        <is>
          <t>2024-02-06</t>
        </is>
      </c>
      <c r="F69" s="14" t="inlineStr">
        <is>
          <t>2024-08-04</t>
        </is>
      </c>
      <c r="G69" s="14" t="inlineStr">
        <is>
          <t>Dr. Sharma</t>
        </is>
      </c>
      <c r="H69" s="14" t="n">
        <v>2.5</v>
      </c>
      <c r="I69" s="14" t="inlineStr">
        <is>
          <t>Completed</t>
        </is>
      </c>
      <c r="J69" s="14" t="inlineStr">
        <is>
          <t>Routine</t>
        </is>
      </c>
    </row>
    <row r="70" ht="15" customHeight="1" s="11">
      <c r="A70" s="13" t="n">
        <v>69</v>
      </c>
      <c r="B70" s="13" t="inlineStr">
        <is>
          <t>COW021</t>
        </is>
      </c>
      <c r="C70" s="13" t="inlineStr">
        <is>
          <t>RFID100021</t>
        </is>
      </c>
      <c r="D70" s="13" t="inlineStr">
        <is>
          <t>Brucellosis</t>
        </is>
      </c>
      <c r="E70" s="13" t="inlineStr">
        <is>
          <t>2024-05-24</t>
        </is>
      </c>
      <c r="F70" s="13" t="inlineStr">
        <is>
          <t>2024-11-20</t>
        </is>
      </c>
      <c r="G70" s="13" t="inlineStr">
        <is>
          <t>Dr. Sharma</t>
        </is>
      </c>
      <c r="H70" s="13" t="n">
        <v>2.1</v>
      </c>
      <c r="I70" s="13" t="inlineStr">
        <is>
          <t>Completed</t>
        </is>
      </c>
      <c r="J70" s="13" t="inlineStr">
        <is>
          <t>Routine</t>
        </is>
      </c>
    </row>
    <row r="71" ht="15" customHeight="1" s="11">
      <c r="A71" s="14" t="n">
        <v>70</v>
      </c>
      <c r="B71" s="14" t="inlineStr">
        <is>
          <t>COW021</t>
        </is>
      </c>
      <c r="C71" s="14" t="inlineStr">
        <is>
          <t>RFID100021</t>
        </is>
      </c>
      <c r="D71" s="14" t="inlineStr">
        <is>
          <t>BVD</t>
        </is>
      </c>
      <c r="E71" s="14" t="inlineStr">
        <is>
          <t>2024-02-12</t>
        </is>
      </c>
      <c r="F71" s="14" t="inlineStr">
        <is>
          <t>2024-08-10</t>
        </is>
      </c>
      <c r="G71" s="14" t="inlineStr">
        <is>
          <t>Dr. Sharma</t>
        </is>
      </c>
      <c r="H71" s="14" t="n">
        <v>5.5</v>
      </c>
      <c r="I71" s="14" t="inlineStr">
        <is>
          <t>Completed</t>
        </is>
      </c>
      <c r="J71" s="14" t="inlineStr">
        <is>
          <t>Routine</t>
        </is>
      </c>
    </row>
    <row r="72" ht="15" customHeight="1" s="11">
      <c r="A72" s="13" t="n">
        <v>71</v>
      </c>
      <c r="B72" s="13" t="inlineStr">
        <is>
          <t>COW022</t>
        </is>
      </c>
      <c r="C72" s="13" t="inlineStr">
        <is>
          <t>RFID100022</t>
        </is>
      </c>
      <c r="D72" s="13" t="inlineStr">
        <is>
          <t>FMD Vaccine</t>
        </is>
      </c>
      <c r="E72" s="13" t="inlineStr">
        <is>
          <t>2024-02-08</t>
        </is>
      </c>
      <c r="F72" s="13" t="inlineStr">
        <is>
          <t>2024-08-06</t>
        </is>
      </c>
      <c r="G72" s="13" t="inlineStr">
        <is>
          <t>Dr. Sharma</t>
        </is>
      </c>
      <c r="H72" s="13" t="n">
        <v>9.4</v>
      </c>
      <c r="I72" s="13" t="inlineStr">
        <is>
          <t>Completed</t>
        </is>
      </c>
      <c r="J72" s="13" t="inlineStr">
        <is>
          <t>Routine</t>
        </is>
      </c>
    </row>
    <row r="73" ht="15" customHeight="1" s="11">
      <c r="A73" s="14" t="n">
        <v>72</v>
      </c>
      <c r="B73" s="14" t="inlineStr">
        <is>
          <t>COW022</t>
        </is>
      </c>
      <c r="C73" s="14" t="inlineStr">
        <is>
          <t>RFID100022</t>
        </is>
      </c>
      <c r="D73" s="14" t="inlineStr">
        <is>
          <t>Brucellosis</t>
        </is>
      </c>
      <c r="E73" s="14" t="inlineStr">
        <is>
          <t>2024-04-23</t>
        </is>
      </c>
      <c r="F73" s="14" t="inlineStr">
        <is>
          <t>2024-10-20</t>
        </is>
      </c>
      <c r="G73" s="14" t="inlineStr">
        <is>
          <t>Dr. Sharma</t>
        </is>
      </c>
      <c r="H73" s="14" t="n">
        <v>8.9</v>
      </c>
      <c r="I73" s="14" t="inlineStr">
        <is>
          <t>Completed</t>
        </is>
      </c>
      <c r="J73" s="14" t="inlineStr">
        <is>
          <t>Routine</t>
        </is>
      </c>
    </row>
    <row r="74" ht="15" customHeight="1" s="11">
      <c r="A74" s="13" t="n">
        <v>73</v>
      </c>
      <c r="B74" s="13" t="inlineStr">
        <is>
          <t>COW022</t>
        </is>
      </c>
      <c r="C74" s="13" t="inlineStr">
        <is>
          <t>RFID100022</t>
        </is>
      </c>
      <c r="D74" s="13" t="inlineStr">
        <is>
          <t>BVD</t>
        </is>
      </c>
      <c r="E74" s="13" t="inlineStr">
        <is>
          <t>2024-01-23</t>
        </is>
      </c>
      <c r="F74" s="13" t="inlineStr">
        <is>
          <t>2024-07-21</t>
        </is>
      </c>
      <c r="G74" s="13" t="inlineStr">
        <is>
          <t>Dr. Sharma</t>
        </is>
      </c>
      <c r="H74" s="13" t="n">
        <v>9.199999999999999</v>
      </c>
      <c r="I74" s="13" t="inlineStr">
        <is>
          <t>Completed</t>
        </is>
      </c>
      <c r="J74" s="13" t="inlineStr">
        <is>
          <t>Routine</t>
        </is>
      </c>
    </row>
    <row r="75" ht="15" customHeight="1" s="11">
      <c r="A75" s="14" t="n">
        <v>74</v>
      </c>
      <c r="B75" s="14" t="inlineStr">
        <is>
          <t>COW023</t>
        </is>
      </c>
      <c r="C75" s="14" t="inlineStr">
        <is>
          <t>RFID100023</t>
        </is>
      </c>
      <c r="D75" s="14" t="inlineStr">
        <is>
          <t>FMD Vaccine</t>
        </is>
      </c>
      <c r="E75" s="14" t="inlineStr">
        <is>
          <t>2024-02-01</t>
        </is>
      </c>
      <c r="F75" s="14" t="inlineStr">
        <is>
          <t>2024-07-30</t>
        </is>
      </c>
      <c r="G75" s="14" t="inlineStr">
        <is>
          <t>Dr. Sharma</t>
        </is>
      </c>
      <c r="H75" s="14" t="n">
        <v>6.7</v>
      </c>
      <c r="I75" s="14" t="inlineStr">
        <is>
          <t>Completed</t>
        </is>
      </c>
      <c r="J75" s="14" t="inlineStr">
        <is>
          <t>Routine</t>
        </is>
      </c>
    </row>
    <row r="76" ht="15" customHeight="1" s="11">
      <c r="A76" s="13" t="n">
        <v>75</v>
      </c>
      <c r="B76" s="13" t="inlineStr">
        <is>
          <t>COW023</t>
        </is>
      </c>
      <c r="C76" s="13" t="inlineStr">
        <is>
          <t>RFID100023</t>
        </is>
      </c>
      <c r="D76" s="13" t="inlineStr">
        <is>
          <t>Brucellosis</t>
        </is>
      </c>
      <c r="E76" s="13" t="inlineStr">
        <is>
          <t>2024-04-08</t>
        </is>
      </c>
      <c r="F76" s="13" t="inlineStr">
        <is>
          <t>2024-10-05</t>
        </is>
      </c>
      <c r="G76" s="13" t="inlineStr">
        <is>
          <t>Dr. Sharma</t>
        </is>
      </c>
      <c r="H76" s="13" t="n">
        <v>4.8</v>
      </c>
      <c r="I76" s="13" t="inlineStr">
        <is>
          <t>Completed</t>
        </is>
      </c>
      <c r="J76" s="13" t="inlineStr">
        <is>
          <t>Routine</t>
        </is>
      </c>
    </row>
    <row r="77" ht="15" customHeight="1" s="11">
      <c r="A77" s="14" t="n">
        <v>76</v>
      </c>
      <c r="B77" s="14" t="inlineStr">
        <is>
          <t>COW023</t>
        </is>
      </c>
      <c r="C77" s="14" t="inlineStr">
        <is>
          <t>RFID100023</t>
        </is>
      </c>
      <c r="D77" s="14" t="inlineStr">
        <is>
          <t>BVD</t>
        </is>
      </c>
      <c r="E77" s="14" t="inlineStr">
        <is>
          <t>2024-04-19</t>
        </is>
      </c>
      <c r="F77" s="14" t="inlineStr">
        <is>
          <t>2024-10-16</t>
        </is>
      </c>
      <c r="G77" s="14" t="inlineStr">
        <is>
          <t>Dr. Sharma</t>
        </is>
      </c>
      <c r="H77" s="14" t="n">
        <v>4.5</v>
      </c>
      <c r="I77" s="14" t="inlineStr">
        <is>
          <t>Completed</t>
        </is>
      </c>
      <c r="J77" s="14" t="inlineStr">
        <is>
          <t>Routine</t>
        </is>
      </c>
    </row>
    <row r="78" ht="15" customHeight="1" s="11">
      <c r="A78" s="13" t="n">
        <v>77</v>
      </c>
      <c r="B78" s="13" t="inlineStr">
        <is>
          <t>COW024</t>
        </is>
      </c>
      <c r="C78" s="13" t="inlineStr">
        <is>
          <t>RFID100024</t>
        </is>
      </c>
      <c r="D78" s="13" t="inlineStr">
        <is>
          <t>FMD Vaccine</t>
        </is>
      </c>
      <c r="E78" s="13" t="inlineStr">
        <is>
          <t>2024-03-04</t>
        </is>
      </c>
      <c r="F78" s="13" t="inlineStr">
        <is>
          <t>2024-08-31</t>
        </is>
      </c>
      <c r="G78" s="13" t="inlineStr">
        <is>
          <t>Dr. Sharma</t>
        </is>
      </c>
      <c r="H78" s="13" t="n">
        <v>4.2</v>
      </c>
      <c r="I78" s="13" t="inlineStr">
        <is>
          <t>Completed</t>
        </is>
      </c>
      <c r="J78" s="13" t="inlineStr">
        <is>
          <t>Routine</t>
        </is>
      </c>
    </row>
    <row r="79" ht="15" customHeight="1" s="11">
      <c r="A79" s="14" t="n">
        <v>78</v>
      </c>
      <c r="B79" s="14" t="inlineStr">
        <is>
          <t>COW024</t>
        </is>
      </c>
      <c r="C79" s="14" t="inlineStr">
        <is>
          <t>RFID100024</t>
        </is>
      </c>
      <c r="D79" s="14" t="inlineStr">
        <is>
          <t>Brucellosis</t>
        </is>
      </c>
      <c r="E79" s="14" t="inlineStr">
        <is>
          <t>2024-01-22</t>
        </is>
      </c>
      <c r="F79" s="14" t="inlineStr">
        <is>
          <t>2024-07-20</t>
        </is>
      </c>
      <c r="G79" s="14" t="inlineStr">
        <is>
          <t>Dr. Sharma</t>
        </is>
      </c>
      <c r="H79" s="14" t="n">
        <v>4</v>
      </c>
      <c r="I79" s="14" t="inlineStr">
        <is>
          <t>Completed</t>
        </is>
      </c>
      <c r="J79" s="14" t="inlineStr">
        <is>
          <t>Routine</t>
        </is>
      </c>
    </row>
    <row r="80" ht="15" customHeight="1" s="11">
      <c r="A80" s="13" t="n">
        <v>79</v>
      </c>
      <c r="B80" s="13" t="inlineStr">
        <is>
          <t>COW024</t>
        </is>
      </c>
      <c r="C80" s="13" t="inlineStr">
        <is>
          <t>RFID100024</t>
        </is>
      </c>
      <c r="D80" s="13" t="inlineStr">
        <is>
          <t>BVD</t>
        </is>
      </c>
      <c r="E80" s="13" t="inlineStr">
        <is>
          <t>2024-03-13</t>
        </is>
      </c>
      <c r="F80" s="13" t="inlineStr">
        <is>
          <t>2024-09-09</t>
        </is>
      </c>
      <c r="G80" s="13" t="inlineStr">
        <is>
          <t>Dr. Sharma</t>
        </is>
      </c>
      <c r="H80" s="13" t="n">
        <v>8.199999999999999</v>
      </c>
      <c r="I80" s="13" t="inlineStr">
        <is>
          <t>Completed</t>
        </is>
      </c>
      <c r="J80" s="13" t="inlineStr">
        <is>
          <t>Routine</t>
        </is>
      </c>
    </row>
    <row r="81" ht="15" customHeight="1" s="11">
      <c r="A81" s="14" t="n">
        <v>80</v>
      </c>
      <c r="B81" s="14" t="inlineStr">
        <is>
          <t>COW025</t>
        </is>
      </c>
      <c r="C81" s="14" t="inlineStr">
        <is>
          <t>RFID100025</t>
        </is>
      </c>
      <c r="D81" s="14" t="inlineStr">
        <is>
          <t>FMD Vaccine</t>
        </is>
      </c>
      <c r="E81" s="14" t="inlineStr">
        <is>
          <t>2024-03-18</t>
        </is>
      </c>
      <c r="F81" s="14" t="inlineStr">
        <is>
          <t>2024-09-14</t>
        </is>
      </c>
      <c r="G81" s="14" t="inlineStr">
        <is>
          <t>Dr. Sharma</t>
        </is>
      </c>
      <c r="H81" s="14" t="n">
        <v>3.6</v>
      </c>
      <c r="I81" s="14" t="inlineStr">
        <is>
          <t>Completed</t>
        </is>
      </c>
      <c r="J81" s="14" t="inlineStr">
        <is>
          <t>Routine</t>
        </is>
      </c>
    </row>
    <row r="82" ht="15" customHeight="1" s="11">
      <c r="A82" s="13" t="n">
        <v>81</v>
      </c>
      <c r="B82" s="13" t="inlineStr">
        <is>
          <t>COW025</t>
        </is>
      </c>
      <c r="C82" s="13" t="inlineStr">
        <is>
          <t>RFID100025</t>
        </is>
      </c>
      <c r="D82" s="13" t="inlineStr">
        <is>
          <t>Brucellosis</t>
        </is>
      </c>
      <c r="E82" s="13" t="inlineStr">
        <is>
          <t>2024-05-10</t>
        </is>
      </c>
      <c r="F82" s="13" t="inlineStr">
        <is>
          <t>2024-11-06</t>
        </is>
      </c>
      <c r="G82" s="13" t="inlineStr">
        <is>
          <t>Dr. Sharma</t>
        </is>
      </c>
      <c r="H82" s="13" t="n">
        <v>3.5</v>
      </c>
      <c r="I82" s="13" t="inlineStr">
        <is>
          <t>Completed</t>
        </is>
      </c>
      <c r="J82" s="13" t="inlineStr">
        <is>
          <t>Routine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L20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1" customWidth="1" style="10" min="1" max="1"/>
    <col width="10" customWidth="1" style="10" min="2" max="2"/>
    <col width="9" customWidth="1" style="10" min="3" max="3"/>
    <col width="8" customWidth="1" style="10" min="4" max="4"/>
    <col width="18" customWidth="1" style="10" min="5" max="5"/>
    <col width="17" customWidth="1" style="10" min="6" max="7"/>
    <col width="21" customWidth="1" style="10" min="8" max="8"/>
    <col width="13" customWidth="1" style="10" min="9" max="9"/>
    <col width="11" customWidth="1" style="10" min="10" max="10"/>
    <col width="21" customWidth="1" style="10" min="11" max="11"/>
    <col width="8" customWidth="1" style="10" min="12" max="12"/>
  </cols>
  <sheetData>
    <row r="1" ht="39.75" customHeight="1" s="11">
      <c r="A1" s="12" t="inlineStr">
        <is>
          <t>Sample_ID</t>
        </is>
      </c>
      <c r="B1" s="12" t="inlineStr">
        <is>
          <t>Cow_ID</t>
        </is>
      </c>
      <c r="C1" s="12" t="inlineStr">
        <is>
          <t>Age_yrs</t>
        </is>
      </c>
      <c r="D1" s="12" t="inlineStr">
        <is>
          <t>Parity</t>
        </is>
      </c>
      <c r="E1" s="12" t="inlineStr">
        <is>
          <t>Avg_Daily_Feed_kg</t>
        </is>
      </c>
      <c r="F1" s="12" t="inlineStr">
        <is>
          <t>Feed_Deviation_%</t>
        </is>
      </c>
      <c r="G1" s="12" t="inlineStr">
        <is>
          <t>Cycle_Length_days</t>
        </is>
      </c>
      <c r="H1" s="12" t="inlineStr">
        <is>
          <t>Days_Since_Last_Estrus</t>
        </is>
      </c>
      <c r="I1" s="12" t="inlineStr">
        <is>
          <t>Health_Score</t>
        </is>
      </c>
      <c r="J1" s="12" t="inlineStr">
        <is>
          <t>Weight_kg</t>
        </is>
      </c>
      <c r="K1" s="12" t="inlineStr">
        <is>
          <t>Estrus_Predicted_Days</t>
        </is>
      </c>
      <c r="L1" s="12" t="inlineStr">
        <is>
          <t>Label</t>
        </is>
      </c>
    </row>
    <row r="2" ht="15" customHeight="1" s="11">
      <c r="A2" s="13" t="n">
        <v>1</v>
      </c>
      <c r="B2" s="13" t="inlineStr">
        <is>
          <t>COW025</t>
        </is>
      </c>
      <c r="C2" s="13" t="n">
        <v>4.4</v>
      </c>
      <c r="D2" s="13" t="n">
        <v>2</v>
      </c>
      <c r="E2" s="13" t="n">
        <v>23.99</v>
      </c>
      <c r="F2" s="13" t="n">
        <v>-5.39</v>
      </c>
      <c r="G2" s="13" t="n">
        <v>19</v>
      </c>
      <c r="H2" s="13" t="n">
        <v>24</v>
      </c>
      <c r="I2" s="13" t="n">
        <v>6</v>
      </c>
      <c r="J2" s="13" t="n">
        <v>365.4</v>
      </c>
      <c r="K2" s="13" t="n">
        <v>-5</v>
      </c>
      <c r="L2" s="16" t="n">
        <v>1</v>
      </c>
    </row>
    <row r="3" ht="15" customHeight="1" s="11">
      <c r="A3" s="14" t="n">
        <v>2</v>
      </c>
      <c r="B3" s="14" t="inlineStr">
        <is>
          <t>COW024</t>
        </is>
      </c>
      <c r="C3" s="14" t="n">
        <v>5.2</v>
      </c>
      <c r="D3" s="14" t="n">
        <v>5</v>
      </c>
      <c r="E3" s="14" t="n">
        <v>18.9</v>
      </c>
      <c r="F3" s="14" t="n">
        <v>2.48</v>
      </c>
      <c r="G3" s="14" t="n">
        <v>19</v>
      </c>
      <c r="H3" s="14" t="n">
        <v>13</v>
      </c>
      <c r="I3" s="14" t="n">
        <v>10</v>
      </c>
      <c r="J3" s="14" t="n">
        <v>480.1</v>
      </c>
      <c r="K3" s="14" t="n">
        <v>6</v>
      </c>
      <c r="L3" s="17" t="n">
        <v>0</v>
      </c>
    </row>
    <row r="4" ht="15" customHeight="1" s="11">
      <c r="A4" s="13" t="n">
        <v>3</v>
      </c>
      <c r="B4" s="13" t="inlineStr">
        <is>
          <t>COW046</t>
        </is>
      </c>
      <c r="C4" s="13" t="n">
        <v>6.9</v>
      </c>
      <c r="D4" s="13" t="n">
        <v>2</v>
      </c>
      <c r="E4" s="13" t="n">
        <v>19.52</v>
      </c>
      <c r="F4" s="13" t="n">
        <v>3.21</v>
      </c>
      <c r="G4" s="13" t="n">
        <v>24</v>
      </c>
      <c r="H4" s="13" t="n">
        <v>18</v>
      </c>
      <c r="I4" s="13" t="n">
        <v>8</v>
      </c>
      <c r="J4" s="13" t="n">
        <v>308.2</v>
      </c>
      <c r="K4" s="13" t="n">
        <v>6</v>
      </c>
      <c r="L4" s="17" t="n">
        <v>0</v>
      </c>
    </row>
    <row r="5" ht="15" customHeight="1" s="11">
      <c r="A5" s="14" t="n">
        <v>4</v>
      </c>
      <c r="B5" s="14" t="inlineStr">
        <is>
          <t>COW024</t>
        </is>
      </c>
      <c r="C5" s="14" t="n">
        <v>5.2</v>
      </c>
      <c r="D5" s="14" t="n">
        <v>1</v>
      </c>
      <c r="E5" s="14" t="n">
        <v>22.69</v>
      </c>
      <c r="F5" s="14" t="n">
        <v>-1.95</v>
      </c>
      <c r="G5" s="14" t="n">
        <v>20</v>
      </c>
      <c r="H5" s="14" t="n">
        <v>17</v>
      </c>
      <c r="I5" s="14" t="n">
        <v>6</v>
      </c>
      <c r="J5" s="14" t="n">
        <v>424.6</v>
      </c>
      <c r="K5" s="14" t="n">
        <v>3</v>
      </c>
      <c r="L5" s="17" t="n">
        <v>0</v>
      </c>
    </row>
    <row r="6" ht="15" customHeight="1" s="11">
      <c r="A6" s="13" t="n">
        <v>5</v>
      </c>
      <c r="B6" s="13" t="inlineStr">
        <is>
          <t>COW023</t>
        </is>
      </c>
      <c r="C6" s="13" t="n">
        <v>7.9</v>
      </c>
      <c r="D6" s="13" t="n">
        <v>5</v>
      </c>
      <c r="E6" s="13" t="n">
        <v>18.81</v>
      </c>
      <c r="F6" s="13" t="n">
        <v>0.37</v>
      </c>
      <c r="G6" s="13" t="n">
        <v>19</v>
      </c>
      <c r="H6" s="13" t="n">
        <v>19</v>
      </c>
      <c r="I6" s="13" t="n">
        <v>9</v>
      </c>
      <c r="J6" s="13" t="n">
        <v>612.1</v>
      </c>
      <c r="K6" s="13" t="n">
        <v>0</v>
      </c>
      <c r="L6" s="16" t="n">
        <v>1</v>
      </c>
    </row>
    <row r="7" ht="15" customHeight="1" s="11">
      <c r="A7" s="14" t="n">
        <v>6</v>
      </c>
      <c r="B7" s="14" t="inlineStr">
        <is>
          <t>COW002</t>
        </is>
      </c>
      <c r="C7" s="14" t="n">
        <v>2.8</v>
      </c>
      <c r="D7" s="14" t="n">
        <v>2</v>
      </c>
      <c r="E7" s="14" t="n">
        <v>25.48</v>
      </c>
      <c r="F7" s="14" t="n">
        <v>-1.17</v>
      </c>
      <c r="G7" s="14" t="n">
        <v>19</v>
      </c>
      <c r="H7" s="14" t="n">
        <v>16</v>
      </c>
      <c r="I7" s="14" t="n">
        <v>7</v>
      </c>
      <c r="J7" s="14" t="n">
        <v>292.6</v>
      </c>
      <c r="K7" s="14" t="n">
        <v>3</v>
      </c>
      <c r="L7" s="17" t="n">
        <v>0</v>
      </c>
    </row>
    <row r="8" ht="15" customHeight="1" s="11">
      <c r="A8" s="13" t="n">
        <v>7</v>
      </c>
      <c r="B8" s="13" t="inlineStr">
        <is>
          <t>COW025</t>
        </is>
      </c>
      <c r="C8" s="13" t="n">
        <v>3</v>
      </c>
      <c r="D8" s="13" t="n">
        <v>4</v>
      </c>
      <c r="E8" s="13" t="n">
        <v>18.81</v>
      </c>
      <c r="F8" s="13" t="n">
        <v>-1.49</v>
      </c>
      <c r="G8" s="13" t="n">
        <v>18</v>
      </c>
      <c r="H8" s="13" t="n">
        <v>4</v>
      </c>
      <c r="I8" s="13" t="n">
        <v>8</v>
      </c>
      <c r="J8" s="13" t="n">
        <v>489.9</v>
      </c>
      <c r="K8" s="13" t="n">
        <v>14</v>
      </c>
      <c r="L8" s="17" t="n">
        <v>0</v>
      </c>
    </row>
    <row r="9" ht="15" customHeight="1" s="11">
      <c r="A9" s="14" t="n">
        <v>8</v>
      </c>
      <c r="B9" s="14" t="inlineStr">
        <is>
          <t>COW035</t>
        </is>
      </c>
      <c r="C9" s="14" t="n">
        <v>4</v>
      </c>
      <c r="D9" s="14" t="n">
        <v>5</v>
      </c>
      <c r="E9" s="14" t="n">
        <v>22.05</v>
      </c>
      <c r="F9" s="14" t="n">
        <v>8</v>
      </c>
      <c r="G9" s="14" t="n">
        <v>18</v>
      </c>
      <c r="H9" s="14" t="n">
        <v>20</v>
      </c>
      <c r="I9" s="14" t="n">
        <v>7</v>
      </c>
      <c r="J9" s="14" t="n">
        <v>430.6</v>
      </c>
      <c r="K9" s="14" t="n">
        <v>-2</v>
      </c>
      <c r="L9" s="16" t="n">
        <v>1</v>
      </c>
    </row>
    <row r="10" ht="15" customHeight="1" s="11">
      <c r="A10" s="13" t="n">
        <v>9</v>
      </c>
      <c r="B10" s="13" t="inlineStr">
        <is>
          <t>COW010</t>
        </is>
      </c>
      <c r="C10" s="13" t="n">
        <v>4.4</v>
      </c>
      <c r="D10" s="13" t="n">
        <v>2</v>
      </c>
      <c r="E10" s="13" t="n">
        <v>21.54</v>
      </c>
      <c r="F10" s="13" t="n">
        <v>3.9</v>
      </c>
      <c r="G10" s="13" t="n">
        <v>18</v>
      </c>
      <c r="H10" s="13" t="n">
        <v>4</v>
      </c>
      <c r="I10" s="13" t="n">
        <v>10</v>
      </c>
      <c r="J10" s="13" t="n">
        <v>544.8</v>
      </c>
      <c r="K10" s="13" t="n">
        <v>14</v>
      </c>
      <c r="L10" s="17" t="n">
        <v>0</v>
      </c>
    </row>
    <row r="11" ht="15" customHeight="1" s="11">
      <c r="A11" s="14" t="n">
        <v>10</v>
      </c>
      <c r="B11" s="14" t="inlineStr">
        <is>
          <t>COW014</t>
        </is>
      </c>
      <c r="C11" s="14" t="n">
        <v>5.6</v>
      </c>
      <c r="D11" s="14" t="n">
        <v>4</v>
      </c>
      <c r="E11" s="14" t="n">
        <v>19.24</v>
      </c>
      <c r="F11" s="14" t="n">
        <v>-7.63</v>
      </c>
      <c r="G11" s="14" t="n">
        <v>20</v>
      </c>
      <c r="H11" s="14" t="n">
        <v>5</v>
      </c>
      <c r="I11" s="14" t="n">
        <v>7</v>
      </c>
      <c r="J11" s="14" t="n">
        <v>419.4</v>
      </c>
      <c r="K11" s="14" t="n">
        <v>15</v>
      </c>
      <c r="L11" s="17" t="n">
        <v>0</v>
      </c>
    </row>
    <row r="12" ht="15" customHeight="1" s="11">
      <c r="A12" s="13" t="n">
        <v>11</v>
      </c>
      <c r="B12" s="13" t="inlineStr">
        <is>
          <t>COW024</t>
        </is>
      </c>
      <c r="C12" s="13" t="n">
        <v>7.3</v>
      </c>
      <c r="D12" s="13" t="n">
        <v>3</v>
      </c>
      <c r="E12" s="13" t="n">
        <v>25.71</v>
      </c>
      <c r="F12" s="13" t="n">
        <v>5.96</v>
      </c>
      <c r="G12" s="13" t="n">
        <v>24</v>
      </c>
      <c r="H12" s="13" t="n">
        <v>8</v>
      </c>
      <c r="I12" s="13" t="n">
        <v>6</v>
      </c>
      <c r="J12" s="13" t="n">
        <v>571.7</v>
      </c>
      <c r="K12" s="13" t="n">
        <v>16</v>
      </c>
      <c r="L12" s="17" t="n">
        <v>0</v>
      </c>
    </row>
    <row r="13" ht="15" customHeight="1" s="11">
      <c r="A13" s="14" t="n">
        <v>12</v>
      </c>
      <c r="B13" s="14" t="inlineStr">
        <is>
          <t>COW026</t>
        </is>
      </c>
      <c r="C13" s="14" t="n">
        <v>3.1</v>
      </c>
      <c r="D13" s="14" t="n">
        <v>1</v>
      </c>
      <c r="E13" s="14" t="n">
        <v>23.01</v>
      </c>
      <c r="F13" s="14" t="n">
        <v>-9.779999999999999</v>
      </c>
      <c r="G13" s="14" t="n">
        <v>24</v>
      </c>
      <c r="H13" s="14" t="n">
        <v>1</v>
      </c>
      <c r="I13" s="14" t="n">
        <v>8</v>
      </c>
      <c r="J13" s="14" t="n">
        <v>353.5</v>
      </c>
      <c r="K13" s="14" t="n">
        <v>23</v>
      </c>
      <c r="L13" s="17" t="n">
        <v>0</v>
      </c>
    </row>
    <row r="14" ht="15" customHeight="1" s="11">
      <c r="A14" s="13" t="n">
        <v>13</v>
      </c>
      <c r="B14" s="13" t="inlineStr">
        <is>
          <t>COW024</t>
        </is>
      </c>
      <c r="C14" s="13" t="n">
        <v>4</v>
      </c>
      <c r="D14" s="13" t="n">
        <v>4</v>
      </c>
      <c r="E14" s="13" t="n">
        <v>21.86</v>
      </c>
      <c r="F14" s="13" t="n">
        <v>6.27</v>
      </c>
      <c r="G14" s="13" t="n">
        <v>22</v>
      </c>
      <c r="H14" s="13" t="n">
        <v>2</v>
      </c>
      <c r="I14" s="13" t="n">
        <v>7</v>
      </c>
      <c r="J14" s="13" t="n">
        <v>579.1</v>
      </c>
      <c r="K14" s="13" t="n">
        <v>20</v>
      </c>
      <c r="L14" s="17" t="n">
        <v>0</v>
      </c>
    </row>
    <row r="15" ht="15" customHeight="1" s="11">
      <c r="A15" s="14" t="n">
        <v>14</v>
      </c>
      <c r="B15" s="14" t="inlineStr">
        <is>
          <t>COW020</t>
        </is>
      </c>
      <c r="C15" s="14" t="n">
        <v>6.3</v>
      </c>
      <c r="D15" s="14" t="n">
        <v>4</v>
      </c>
      <c r="E15" s="14" t="n">
        <v>25.71</v>
      </c>
      <c r="F15" s="14" t="n">
        <v>-5.4</v>
      </c>
      <c r="G15" s="14" t="n">
        <v>24</v>
      </c>
      <c r="H15" s="14" t="n">
        <v>20</v>
      </c>
      <c r="I15" s="14" t="n">
        <v>7</v>
      </c>
      <c r="J15" s="14" t="n">
        <v>502.1</v>
      </c>
      <c r="K15" s="14" t="n">
        <v>4</v>
      </c>
      <c r="L15" s="17" t="n">
        <v>0</v>
      </c>
    </row>
    <row r="16" ht="15" customHeight="1" s="11">
      <c r="A16" s="13" t="n">
        <v>15</v>
      </c>
      <c r="B16" s="13" t="inlineStr">
        <is>
          <t>COW029</t>
        </is>
      </c>
      <c r="C16" s="13" t="n">
        <v>2.6</v>
      </c>
      <c r="D16" s="13" t="n">
        <v>3</v>
      </c>
      <c r="E16" s="13" t="n">
        <v>20.19</v>
      </c>
      <c r="F16" s="13" t="n">
        <v>6.19</v>
      </c>
      <c r="G16" s="13" t="n">
        <v>23</v>
      </c>
      <c r="H16" s="13" t="n">
        <v>22</v>
      </c>
      <c r="I16" s="13" t="n">
        <v>7</v>
      </c>
      <c r="J16" s="13" t="n">
        <v>410.4</v>
      </c>
      <c r="K16" s="13" t="n">
        <v>1</v>
      </c>
      <c r="L16" s="16" t="n">
        <v>1</v>
      </c>
    </row>
    <row r="17" ht="15" customHeight="1" s="11">
      <c r="A17" s="14" t="n">
        <v>16</v>
      </c>
      <c r="B17" s="14" t="inlineStr">
        <is>
          <t>COW044</t>
        </is>
      </c>
      <c r="C17" s="14" t="n">
        <v>6.5</v>
      </c>
      <c r="D17" s="14" t="n">
        <v>1</v>
      </c>
      <c r="E17" s="14" t="n">
        <v>26.83</v>
      </c>
      <c r="F17" s="14" t="n">
        <v>-1.58</v>
      </c>
      <c r="G17" s="14" t="n">
        <v>20</v>
      </c>
      <c r="H17" s="14" t="n">
        <v>2</v>
      </c>
      <c r="I17" s="14" t="n">
        <v>10</v>
      </c>
      <c r="J17" s="14" t="n">
        <v>379.6</v>
      </c>
      <c r="K17" s="14" t="n">
        <v>18</v>
      </c>
      <c r="L17" s="17" t="n">
        <v>0</v>
      </c>
    </row>
    <row r="18" ht="15" customHeight="1" s="11">
      <c r="A18" s="13" t="n">
        <v>17</v>
      </c>
      <c r="B18" s="13" t="inlineStr">
        <is>
          <t>COW043</t>
        </is>
      </c>
      <c r="C18" s="13" t="n">
        <v>7.2</v>
      </c>
      <c r="D18" s="13" t="n">
        <v>4</v>
      </c>
      <c r="E18" s="13" t="n">
        <v>23.33</v>
      </c>
      <c r="F18" s="13" t="n">
        <v>8.6</v>
      </c>
      <c r="G18" s="13" t="n">
        <v>20</v>
      </c>
      <c r="H18" s="13" t="n">
        <v>13</v>
      </c>
      <c r="I18" s="13" t="n">
        <v>8</v>
      </c>
      <c r="J18" s="13" t="n">
        <v>419.2</v>
      </c>
      <c r="K18" s="13" t="n">
        <v>7</v>
      </c>
      <c r="L18" s="17" t="n">
        <v>0</v>
      </c>
    </row>
    <row r="19" ht="15" customHeight="1" s="11">
      <c r="A19" s="14" t="n">
        <v>18</v>
      </c>
      <c r="B19" s="14" t="inlineStr">
        <is>
          <t>COW022</t>
        </is>
      </c>
      <c r="C19" s="14" t="n">
        <v>7</v>
      </c>
      <c r="D19" s="14" t="n">
        <v>2</v>
      </c>
      <c r="E19" s="14" t="n">
        <v>20.82</v>
      </c>
      <c r="F19" s="14" t="n">
        <v>3.56</v>
      </c>
      <c r="G19" s="14" t="n">
        <v>22</v>
      </c>
      <c r="H19" s="14" t="n">
        <v>19</v>
      </c>
      <c r="I19" s="14" t="n">
        <v>9</v>
      </c>
      <c r="J19" s="14" t="n">
        <v>346.1</v>
      </c>
      <c r="K19" s="14" t="n">
        <v>3</v>
      </c>
      <c r="L19" s="17" t="n">
        <v>0</v>
      </c>
    </row>
    <row r="20" ht="15" customHeight="1" s="11">
      <c r="A20" s="13" t="n">
        <v>19</v>
      </c>
      <c r="B20" s="13" t="inlineStr">
        <is>
          <t>COW017</t>
        </is>
      </c>
      <c r="C20" s="13" t="n">
        <v>7.3</v>
      </c>
      <c r="D20" s="13" t="n">
        <v>3</v>
      </c>
      <c r="E20" s="13" t="n">
        <v>18.04</v>
      </c>
      <c r="F20" s="13" t="n">
        <v>-2.89</v>
      </c>
      <c r="G20" s="13" t="n">
        <v>20</v>
      </c>
      <c r="H20" s="13" t="n">
        <v>6</v>
      </c>
      <c r="I20" s="13" t="n">
        <v>7</v>
      </c>
      <c r="J20" s="13" t="n">
        <v>548.4</v>
      </c>
      <c r="K20" s="13" t="n">
        <v>14</v>
      </c>
      <c r="L20" s="17" t="n">
        <v>0</v>
      </c>
    </row>
    <row r="21" ht="15" customHeight="1" s="11">
      <c r="A21" s="14" t="n">
        <v>20</v>
      </c>
      <c r="B21" s="14" t="inlineStr">
        <is>
          <t>COW035</t>
        </is>
      </c>
      <c r="C21" s="14" t="n">
        <v>5.9</v>
      </c>
      <c r="D21" s="14" t="n">
        <v>2</v>
      </c>
      <c r="E21" s="14" t="n">
        <v>22.08</v>
      </c>
      <c r="F21" s="14" t="n">
        <v>7.24</v>
      </c>
      <c r="G21" s="14" t="n">
        <v>23</v>
      </c>
      <c r="H21" s="14" t="n">
        <v>12</v>
      </c>
      <c r="I21" s="14" t="n">
        <v>6</v>
      </c>
      <c r="J21" s="14" t="n">
        <v>318.2</v>
      </c>
      <c r="K21" s="14" t="n">
        <v>11</v>
      </c>
      <c r="L21" s="17" t="n">
        <v>0</v>
      </c>
    </row>
    <row r="22" ht="15" customHeight="1" s="11">
      <c r="A22" s="13" t="n">
        <v>21</v>
      </c>
      <c r="B22" s="13" t="inlineStr">
        <is>
          <t>COW029</t>
        </is>
      </c>
      <c r="C22" s="13" t="n">
        <v>3.2</v>
      </c>
      <c r="D22" s="13" t="n">
        <v>5</v>
      </c>
      <c r="E22" s="13" t="n">
        <v>21.11</v>
      </c>
      <c r="F22" s="13" t="n">
        <v>3.45</v>
      </c>
      <c r="G22" s="13" t="n">
        <v>23</v>
      </c>
      <c r="H22" s="13" t="n">
        <v>5</v>
      </c>
      <c r="I22" s="13" t="n">
        <v>10</v>
      </c>
      <c r="J22" s="13" t="n">
        <v>546.9</v>
      </c>
      <c r="K22" s="13" t="n">
        <v>18</v>
      </c>
      <c r="L22" s="17" t="n">
        <v>0</v>
      </c>
    </row>
    <row r="23" ht="15" customHeight="1" s="11">
      <c r="A23" s="14" t="n">
        <v>22</v>
      </c>
      <c r="B23" s="14" t="inlineStr">
        <is>
          <t>COW050</t>
        </is>
      </c>
      <c r="C23" s="14" t="n">
        <v>7.6</v>
      </c>
      <c r="D23" s="14" t="n">
        <v>3</v>
      </c>
      <c r="E23" s="14" t="n">
        <v>25.49</v>
      </c>
      <c r="F23" s="14" t="n">
        <v>4.78</v>
      </c>
      <c r="G23" s="14" t="n">
        <v>21</v>
      </c>
      <c r="H23" s="14" t="n">
        <v>17</v>
      </c>
      <c r="I23" s="14" t="n">
        <v>10</v>
      </c>
      <c r="J23" s="14" t="n">
        <v>492.8</v>
      </c>
      <c r="K23" s="14" t="n">
        <v>4</v>
      </c>
      <c r="L23" s="17" t="n">
        <v>0</v>
      </c>
    </row>
    <row r="24" ht="15" customHeight="1" s="11">
      <c r="A24" s="13" t="n">
        <v>23</v>
      </c>
      <c r="B24" s="13" t="inlineStr">
        <is>
          <t>COW003</t>
        </is>
      </c>
      <c r="C24" s="13" t="n">
        <v>5.8</v>
      </c>
      <c r="D24" s="13" t="n">
        <v>5</v>
      </c>
      <c r="E24" s="13" t="n">
        <v>25.69</v>
      </c>
      <c r="F24" s="13" t="n">
        <v>-5.99</v>
      </c>
      <c r="G24" s="13" t="n">
        <v>18</v>
      </c>
      <c r="H24" s="13" t="n">
        <v>3</v>
      </c>
      <c r="I24" s="13" t="n">
        <v>8</v>
      </c>
      <c r="J24" s="13" t="n">
        <v>305.7</v>
      </c>
      <c r="K24" s="13" t="n">
        <v>15</v>
      </c>
      <c r="L24" s="17" t="n">
        <v>0</v>
      </c>
    </row>
    <row r="25" ht="15" customHeight="1" s="11">
      <c r="A25" s="14" t="n">
        <v>24</v>
      </c>
      <c r="B25" s="14" t="inlineStr">
        <is>
          <t>COW013</t>
        </is>
      </c>
      <c r="C25" s="14" t="n">
        <v>7.8</v>
      </c>
      <c r="D25" s="14" t="n">
        <v>4</v>
      </c>
      <c r="E25" s="14" t="n">
        <v>21</v>
      </c>
      <c r="F25" s="14" t="n">
        <v>9.42</v>
      </c>
      <c r="G25" s="14" t="n">
        <v>23</v>
      </c>
      <c r="H25" s="14" t="n">
        <v>22</v>
      </c>
      <c r="I25" s="14" t="n">
        <v>10</v>
      </c>
      <c r="J25" s="14" t="n">
        <v>475.5</v>
      </c>
      <c r="K25" s="14" t="n">
        <v>1</v>
      </c>
      <c r="L25" s="16" t="n">
        <v>1</v>
      </c>
    </row>
    <row r="26" ht="15" customHeight="1" s="11">
      <c r="A26" s="13" t="n">
        <v>25</v>
      </c>
      <c r="B26" s="13" t="inlineStr">
        <is>
          <t>COW029</t>
        </is>
      </c>
      <c r="C26" s="13" t="n">
        <v>6.5</v>
      </c>
      <c r="D26" s="13" t="n">
        <v>4</v>
      </c>
      <c r="E26" s="13" t="n">
        <v>21.98</v>
      </c>
      <c r="F26" s="13" t="n">
        <v>-6.55</v>
      </c>
      <c r="G26" s="13" t="n">
        <v>21</v>
      </c>
      <c r="H26" s="13" t="n">
        <v>10</v>
      </c>
      <c r="I26" s="13" t="n">
        <v>7</v>
      </c>
      <c r="J26" s="13" t="n">
        <v>578.5</v>
      </c>
      <c r="K26" s="13" t="n">
        <v>11</v>
      </c>
      <c r="L26" s="17" t="n">
        <v>0</v>
      </c>
    </row>
    <row r="27" ht="15" customHeight="1" s="11">
      <c r="A27" s="14" t="n">
        <v>26</v>
      </c>
      <c r="B27" s="14" t="inlineStr">
        <is>
          <t>COW030</t>
        </is>
      </c>
      <c r="C27" s="14" t="n">
        <v>7.2</v>
      </c>
      <c r="D27" s="14" t="n">
        <v>4</v>
      </c>
      <c r="E27" s="14" t="n">
        <v>22.18</v>
      </c>
      <c r="F27" s="14" t="n">
        <v>9.09</v>
      </c>
      <c r="G27" s="14" t="n">
        <v>19</v>
      </c>
      <c r="H27" s="14" t="n">
        <v>11</v>
      </c>
      <c r="I27" s="14" t="n">
        <v>8</v>
      </c>
      <c r="J27" s="14" t="n">
        <v>350.6</v>
      </c>
      <c r="K27" s="14" t="n">
        <v>8</v>
      </c>
      <c r="L27" s="17" t="n">
        <v>0</v>
      </c>
    </row>
    <row r="28" ht="15" customHeight="1" s="11">
      <c r="A28" s="13" t="n">
        <v>27</v>
      </c>
      <c r="B28" s="13" t="inlineStr">
        <is>
          <t>COW005</t>
        </is>
      </c>
      <c r="C28" s="13" t="n">
        <v>5.4</v>
      </c>
      <c r="D28" s="13" t="n">
        <v>4</v>
      </c>
      <c r="E28" s="13" t="n">
        <v>19.84</v>
      </c>
      <c r="F28" s="13" t="n">
        <v>8.25</v>
      </c>
      <c r="G28" s="13" t="n">
        <v>21</v>
      </c>
      <c r="H28" s="13" t="n">
        <v>18</v>
      </c>
      <c r="I28" s="13" t="n">
        <v>9</v>
      </c>
      <c r="J28" s="13" t="n">
        <v>506.1</v>
      </c>
      <c r="K28" s="13" t="n">
        <v>3</v>
      </c>
      <c r="L28" s="17" t="n">
        <v>0</v>
      </c>
    </row>
    <row r="29" ht="15" customHeight="1" s="11">
      <c r="A29" s="14" t="n">
        <v>28</v>
      </c>
      <c r="B29" s="14" t="inlineStr">
        <is>
          <t>COW047</t>
        </is>
      </c>
      <c r="C29" s="14" t="n">
        <v>5.2</v>
      </c>
      <c r="D29" s="14" t="n">
        <v>4</v>
      </c>
      <c r="E29" s="14" t="n">
        <v>23.23</v>
      </c>
      <c r="F29" s="14" t="n">
        <v>-7.7</v>
      </c>
      <c r="G29" s="14" t="n">
        <v>24</v>
      </c>
      <c r="H29" s="14" t="n">
        <v>15</v>
      </c>
      <c r="I29" s="14" t="n">
        <v>6</v>
      </c>
      <c r="J29" s="14" t="n">
        <v>394.2</v>
      </c>
      <c r="K29" s="14" t="n">
        <v>9</v>
      </c>
      <c r="L29" s="17" t="n">
        <v>0</v>
      </c>
    </row>
    <row r="30" ht="15" customHeight="1" s="11">
      <c r="A30" s="13" t="n">
        <v>29</v>
      </c>
      <c r="B30" s="13" t="inlineStr">
        <is>
          <t>COW038</t>
        </is>
      </c>
      <c r="C30" s="13" t="n">
        <v>2</v>
      </c>
      <c r="D30" s="13" t="n">
        <v>5</v>
      </c>
      <c r="E30" s="13" t="n">
        <v>20.75</v>
      </c>
      <c r="F30" s="13" t="n">
        <v>-9.76</v>
      </c>
      <c r="G30" s="13" t="n">
        <v>20</v>
      </c>
      <c r="H30" s="13" t="n">
        <v>13</v>
      </c>
      <c r="I30" s="13" t="n">
        <v>8</v>
      </c>
      <c r="J30" s="13" t="n">
        <v>336.4</v>
      </c>
      <c r="K30" s="13" t="n">
        <v>7</v>
      </c>
      <c r="L30" s="17" t="n">
        <v>0</v>
      </c>
    </row>
    <row r="31" ht="15" customHeight="1" s="11">
      <c r="A31" s="14" t="n">
        <v>30</v>
      </c>
      <c r="B31" s="14" t="inlineStr">
        <is>
          <t>COW029</t>
        </is>
      </c>
      <c r="C31" s="14" t="n">
        <v>7.5</v>
      </c>
      <c r="D31" s="14" t="n">
        <v>4</v>
      </c>
      <c r="E31" s="14" t="n">
        <v>18.36</v>
      </c>
      <c r="F31" s="14" t="n">
        <v>-3.15</v>
      </c>
      <c r="G31" s="14" t="n">
        <v>19</v>
      </c>
      <c r="H31" s="14" t="n">
        <v>17</v>
      </c>
      <c r="I31" s="14" t="n">
        <v>8</v>
      </c>
      <c r="J31" s="14" t="n">
        <v>333.9</v>
      </c>
      <c r="K31" s="14" t="n">
        <v>2</v>
      </c>
      <c r="L31" s="16" t="n">
        <v>1</v>
      </c>
    </row>
    <row r="32" ht="15" customHeight="1" s="11">
      <c r="A32" s="13" t="n">
        <v>31</v>
      </c>
      <c r="B32" s="13" t="inlineStr">
        <is>
          <t>COW024</t>
        </is>
      </c>
      <c r="C32" s="13" t="n">
        <v>2.3</v>
      </c>
      <c r="D32" s="13" t="n">
        <v>4</v>
      </c>
      <c r="E32" s="13" t="n">
        <v>20.3</v>
      </c>
      <c r="F32" s="13" t="n">
        <v>-6.23</v>
      </c>
      <c r="G32" s="13" t="n">
        <v>21</v>
      </c>
      <c r="H32" s="13" t="n">
        <v>5</v>
      </c>
      <c r="I32" s="13" t="n">
        <v>8</v>
      </c>
      <c r="J32" s="13" t="n">
        <v>373.7</v>
      </c>
      <c r="K32" s="13" t="n">
        <v>16</v>
      </c>
      <c r="L32" s="17" t="n">
        <v>0</v>
      </c>
    </row>
    <row r="33" ht="15" customHeight="1" s="11">
      <c r="A33" s="14" t="n">
        <v>32</v>
      </c>
      <c r="B33" s="14" t="inlineStr">
        <is>
          <t>COW044</t>
        </is>
      </c>
      <c r="C33" s="14" t="n">
        <v>2.4</v>
      </c>
      <c r="D33" s="14" t="n">
        <v>2</v>
      </c>
      <c r="E33" s="14" t="n">
        <v>25.76</v>
      </c>
      <c r="F33" s="14" t="n">
        <v>-6.53</v>
      </c>
      <c r="G33" s="14" t="n">
        <v>20</v>
      </c>
      <c r="H33" s="14" t="n">
        <v>20</v>
      </c>
      <c r="I33" s="14" t="n">
        <v>10</v>
      </c>
      <c r="J33" s="14" t="n">
        <v>307.7</v>
      </c>
      <c r="K33" s="14" t="n">
        <v>0</v>
      </c>
      <c r="L33" s="16" t="n">
        <v>1</v>
      </c>
    </row>
    <row r="34" ht="15" customHeight="1" s="11">
      <c r="A34" s="13" t="n">
        <v>33</v>
      </c>
      <c r="B34" s="13" t="inlineStr">
        <is>
          <t>COW011</t>
        </is>
      </c>
      <c r="C34" s="13" t="n">
        <v>2.7</v>
      </c>
      <c r="D34" s="13" t="n">
        <v>2</v>
      </c>
      <c r="E34" s="13" t="n">
        <v>26.25</v>
      </c>
      <c r="F34" s="13" t="n">
        <v>-7</v>
      </c>
      <c r="G34" s="13" t="n">
        <v>18</v>
      </c>
      <c r="H34" s="13" t="n">
        <v>1</v>
      </c>
      <c r="I34" s="13" t="n">
        <v>10</v>
      </c>
      <c r="J34" s="13" t="n">
        <v>499.8</v>
      </c>
      <c r="K34" s="13" t="n">
        <v>17</v>
      </c>
      <c r="L34" s="17" t="n">
        <v>0</v>
      </c>
    </row>
    <row r="35" ht="15" customHeight="1" s="11">
      <c r="A35" s="14" t="n">
        <v>34</v>
      </c>
      <c r="B35" s="14" t="inlineStr">
        <is>
          <t>COW022</t>
        </is>
      </c>
      <c r="C35" s="14" t="n">
        <v>4.1</v>
      </c>
      <c r="D35" s="14" t="n">
        <v>2</v>
      </c>
      <c r="E35" s="14" t="n">
        <v>24.15</v>
      </c>
      <c r="F35" s="14" t="n">
        <v>5.21</v>
      </c>
      <c r="G35" s="14" t="n">
        <v>22</v>
      </c>
      <c r="H35" s="14" t="n">
        <v>5</v>
      </c>
      <c r="I35" s="14" t="n">
        <v>8</v>
      </c>
      <c r="J35" s="14" t="n">
        <v>542.9</v>
      </c>
      <c r="K35" s="14" t="n">
        <v>17</v>
      </c>
      <c r="L35" s="17" t="n">
        <v>0</v>
      </c>
    </row>
    <row r="36" ht="15" customHeight="1" s="11">
      <c r="A36" s="13" t="n">
        <v>35</v>
      </c>
      <c r="B36" s="13" t="inlineStr">
        <is>
          <t>COW034</t>
        </is>
      </c>
      <c r="C36" s="13" t="n">
        <v>6.9</v>
      </c>
      <c r="D36" s="13" t="n">
        <v>4</v>
      </c>
      <c r="E36" s="13" t="n">
        <v>19.88</v>
      </c>
      <c r="F36" s="13" t="n">
        <v>-6.41</v>
      </c>
      <c r="G36" s="13" t="n">
        <v>18</v>
      </c>
      <c r="H36" s="13" t="n">
        <v>4</v>
      </c>
      <c r="I36" s="13" t="n">
        <v>9</v>
      </c>
      <c r="J36" s="13" t="n">
        <v>498.6</v>
      </c>
      <c r="K36" s="13" t="n">
        <v>14</v>
      </c>
      <c r="L36" s="17" t="n">
        <v>0</v>
      </c>
    </row>
    <row r="37" ht="15" customHeight="1" s="11">
      <c r="A37" s="14" t="n">
        <v>36</v>
      </c>
      <c r="B37" s="14" t="inlineStr">
        <is>
          <t>COW047</t>
        </is>
      </c>
      <c r="C37" s="14" t="n">
        <v>6.4</v>
      </c>
      <c r="D37" s="14" t="n">
        <v>1</v>
      </c>
      <c r="E37" s="14" t="n">
        <v>20.31</v>
      </c>
      <c r="F37" s="14" t="n">
        <v>8.34</v>
      </c>
      <c r="G37" s="14" t="n">
        <v>24</v>
      </c>
      <c r="H37" s="14" t="n">
        <v>3</v>
      </c>
      <c r="I37" s="14" t="n">
        <v>7</v>
      </c>
      <c r="J37" s="14" t="n">
        <v>472.7</v>
      </c>
      <c r="K37" s="14" t="n">
        <v>21</v>
      </c>
      <c r="L37" s="17" t="n">
        <v>0</v>
      </c>
    </row>
    <row r="38" ht="15" customHeight="1" s="11">
      <c r="A38" s="13" t="n">
        <v>37</v>
      </c>
      <c r="B38" s="13" t="inlineStr">
        <is>
          <t>COW021</t>
        </is>
      </c>
      <c r="C38" s="13" t="n">
        <v>6.8</v>
      </c>
      <c r="D38" s="13" t="n">
        <v>1</v>
      </c>
      <c r="E38" s="13" t="n">
        <v>26.76</v>
      </c>
      <c r="F38" s="13" t="n">
        <v>-6.77</v>
      </c>
      <c r="G38" s="13" t="n">
        <v>24</v>
      </c>
      <c r="H38" s="13" t="n">
        <v>5</v>
      </c>
      <c r="I38" s="13" t="n">
        <v>9</v>
      </c>
      <c r="J38" s="13" t="n">
        <v>406.9</v>
      </c>
      <c r="K38" s="13" t="n">
        <v>19</v>
      </c>
      <c r="L38" s="17" t="n">
        <v>0</v>
      </c>
    </row>
    <row r="39" ht="15" customHeight="1" s="11">
      <c r="A39" s="14" t="n">
        <v>38</v>
      </c>
      <c r="B39" s="14" t="inlineStr">
        <is>
          <t>COW036</t>
        </is>
      </c>
      <c r="C39" s="14" t="n">
        <v>5.5</v>
      </c>
      <c r="D39" s="14" t="n">
        <v>5</v>
      </c>
      <c r="E39" s="14" t="n">
        <v>21.97</v>
      </c>
      <c r="F39" s="14" t="n">
        <v>-3.99</v>
      </c>
      <c r="G39" s="14" t="n">
        <v>19</v>
      </c>
      <c r="H39" s="14" t="n">
        <v>4</v>
      </c>
      <c r="I39" s="14" t="n">
        <v>6</v>
      </c>
      <c r="J39" s="14" t="n">
        <v>579.5</v>
      </c>
      <c r="K39" s="14" t="n">
        <v>15</v>
      </c>
      <c r="L39" s="17" t="n">
        <v>0</v>
      </c>
    </row>
    <row r="40" ht="15" customHeight="1" s="11">
      <c r="A40" s="13" t="n">
        <v>39</v>
      </c>
      <c r="B40" s="13" t="inlineStr">
        <is>
          <t>COW021</t>
        </is>
      </c>
      <c r="C40" s="13" t="n">
        <v>3.8</v>
      </c>
      <c r="D40" s="13" t="n">
        <v>1</v>
      </c>
      <c r="E40" s="13" t="n">
        <v>22.92</v>
      </c>
      <c r="F40" s="13" t="n">
        <v>6.03</v>
      </c>
      <c r="G40" s="13" t="n">
        <v>18</v>
      </c>
      <c r="H40" s="13" t="n">
        <v>11</v>
      </c>
      <c r="I40" s="13" t="n">
        <v>7</v>
      </c>
      <c r="J40" s="13" t="n">
        <v>486.2</v>
      </c>
      <c r="K40" s="13" t="n">
        <v>7</v>
      </c>
      <c r="L40" s="17" t="n">
        <v>0</v>
      </c>
    </row>
    <row r="41" ht="15" customHeight="1" s="11">
      <c r="A41" s="14" t="n">
        <v>40</v>
      </c>
      <c r="B41" s="14" t="inlineStr">
        <is>
          <t>COW010</t>
        </is>
      </c>
      <c r="C41" s="14" t="n">
        <v>7.1</v>
      </c>
      <c r="D41" s="14" t="n">
        <v>3</v>
      </c>
      <c r="E41" s="14" t="n">
        <v>26.05</v>
      </c>
      <c r="F41" s="14" t="n">
        <v>9.369999999999999</v>
      </c>
      <c r="G41" s="14" t="n">
        <v>21</v>
      </c>
      <c r="H41" s="14" t="n">
        <v>8</v>
      </c>
      <c r="I41" s="14" t="n">
        <v>10</v>
      </c>
      <c r="J41" s="14" t="n">
        <v>357.1</v>
      </c>
      <c r="K41" s="14" t="n">
        <v>13</v>
      </c>
      <c r="L41" s="17" t="n">
        <v>0</v>
      </c>
    </row>
    <row r="42" ht="15" customHeight="1" s="11">
      <c r="A42" s="13" t="n">
        <v>41</v>
      </c>
      <c r="B42" s="13" t="inlineStr">
        <is>
          <t>COW050</t>
        </is>
      </c>
      <c r="C42" s="13" t="n">
        <v>6.2</v>
      </c>
      <c r="D42" s="13" t="n">
        <v>1</v>
      </c>
      <c r="E42" s="13" t="n">
        <v>25.64</v>
      </c>
      <c r="F42" s="13" t="n">
        <v>8.779999999999999</v>
      </c>
      <c r="G42" s="13" t="n">
        <v>23</v>
      </c>
      <c r="H42" s="13" t="n">
        <v>12</v>
      </c>
      <c r="I42" s="13" t="n">
        <v>9</v>
      </c>
      <c r="J42" s="13" t="n">
        <v>454.2</v>
      </c>
      <c r="K42" s="13" t="n">
        <v>11</v>
      </c>
      <c r="L42" s="17" t="n">
        <v>0</v>
      </c>
    </row>
    <row r="43" ht="15" customHeight="1" s="11">
      <c r="A43" s="14" t="n">
        <v>42</v>
      </c>
      <c r="B43" s="14" t="inlineStr">
        <is>
          <t>COW037</t>
        </is>
      </c>
      <c r="C43" s="14" t="n">
        <v>3.4</v>
      </c>
      <c r="D43" s="14" t="n">
        <v>5</v>
      </c>
      <c r="E43" s="14" t="n">
        <v>22.06</v>
      </c>
      <c r="F43" s="14" t="n">
        <v>-8.91</v>
      </c>
      <c r="G43" s="14" t="n">
        <v>19</v>
      </c>
      <c r="H43" s="14" t="n">
        <v>20</v>
      </c>
      <c r="I43" s="14" t="n">
        <v>8</v>
      </c>
      <c r="J43" s="14" t="n">
        <v>335.7</v>
      </c>
      <c r="K43" s="14" t="n">
        <v>-1</v>
      </c>
      <c r="L43" s="16" t="n">
        <v>1</v>
      </c>
    </row>
    <row r="44" ht="15" customHeight="1" s="11">
      <c r="A44" s="13" t="n">
        <v>43</v>
      </c>
      <c r="B44" s="13" t="inlineStr">
        <is>
          <t>COW004</t>
        </is>
      </c>
      <c r="C44" s="13" t="n">
        <v>2.6</v>
      </c>
      <c r="D44" s="13" t="n">
        <v>1</v>
      </c>
      <c r="E44" s="13" t="n">
        <v>23.66</v>
      </c>
      <c r="F44" s="13" t="n">
        <v>-9.43</v>
      </c>
      <c r="G44" s="13" t="n">
        <v>19</v>
      </c>
      <c r="H44" s="13" t="n">
        <v>4</v>
      </c>
      <c r="I44" s="13" t="n">
        <v>7</v>
      </c>
      <c r="J44" s="13" t="n">
        <v>493.9</v>
      </c>
      <c r="K44" s="13" t="n">
        <v>15</v>
      </c>
      <c r="L44" s="17" t="n">
        <v>0</v>
      </c>
    </row>
    <row r="45" ht="15" customHeight="1" s="11">
      <c r="A45" s="14" t="n">
        <v>44</v>
      </c>
      <c r="B45" s="14" t="inlineStr">
        <is>
          <t>COW029</t>
        </is>
      </c>
      <c r="C45" s="14" t="n">
        <v>7.9</v>
      </c>
      <c r="D45" s="14" t="n">
        <v>3</v>
      </c>
      <c r="E45" s="14" t="n">
        <v>19.83</v>
      </c>
      <c r="F45" s="14" t="n">
        <v>5.28</v>
      </c>
      <c r="G45" s="14" t="n">
        <v>19</v>
      </c>
      <c r="H45" s="14" t="n">
        <v>0</v>
      </c>
      <c r="I45" s="14" t="n">
        <v>6</v>
      </c>
      <c r="J45" s="14" t="n">
        <v>451</v>
      </c>
      <c r="K45" s="14" t="n">
        <v>19</v>
      </c>
      <c r="L45" s="17" t="n">
        <v>0</v>
      </c>
    </row>
    <row r="46" ht="15" customHeight="1" s="11">
      <c r="A46" s="13" t="n">
        <v>45</v>
      </c>
      <c r="B46" s="13" t="inlineStr">
        <is>
          <t>COW011</t>
        </is>
      </c>
      <c r="C46" s="13" t="n">
        <v>2.4</v>
      </c>
      <c r="D46" s="13" t="n">
        <v>5</v>
      </c>
      <c r="E46" s="13" t="n">
        <v>20.33</v>
      </c>
      <c r="F46" s="13" t="n">
        <v>-1.31</v>
      </c>
      <c r="G46" s="13" t="n">
        <v>21</v>
      </c>
      <c r="H46" s="13" t="n">
        <v>19</v>
      </c>
      <c r="I46" s="13" t="n">
        <v>6</v>
      </c>
      <c r="J46" s="13" t="n">
        <v>405.7</v>
      </c>
      <c r="K46" s="13" t="n">
        <v>2</v>
      </c>
      <c r="L46" s="16" t="n">
        <v>1</v>
      </c>
    </row>
    <row r="47" ht="15" customHeight="1" s="11">
      <c r="A47" s="14" t="n">
        <v>46</v>
      </c>
      <c r="B47" s="14" t="inlineStr">
        <is>
          <t>COW012</t>
        </is>
      </c>
      <c r="C47" s="14" t="n">
        <v>3.4</v>
      </c>
      <c r="D47" s="14" t="n">
        <v>5</v>
      </c>
      <c r="E47" s="14" t="n">
        <v>22.85</v>
      </c>
      <c r="F47" s="14" t="n">
        <v>4.31</v>
      </c>
      <c r="G47" s="14" t="n">
        <v>18</v>
      </c>
      <c r="H47" s="14" t="n">
        <v>13</v>
      </c>
      <c r="I47" s="14" t="n">
        <v>10</v>
      </c>
      <c r="J47" s="14" t="n">
        <v>348.6</v>
      </c>
      <c r="K47" s="14" t="n">
        <v>5</v>
      </c>
      <c r="L47" s="17" t="n">
        <v>0</v>
      </c>
    </row>
    <row r="48" ht="15" customHeight="1" s="11">
      <c r="A48" s="13" t="n">
        <v>47</v>
      </c>
      <c r="B48" s="13" t="inlineStr">
        <is>
          <t>COW033</t>
        </is>
      </c>
      <c r="C48" s="13" t="n">
        <v>2.8</v>
      </c>
      <c r="D48" s="13" t="n">
        <v>2</v>
      </c>
      <c r="E48" s="13" t="n">
        <v>19.72</v>
      </c>
      <c r="F48" s="13" t="n">
        <v>3.73</v>
      </c>
      <c r="G48" s="13" t="n">
        <v>19</v>
      </c>
      <c r="H48" s="13" t="n">
        <v>20</v>
      </c>
      <c r="I48" s="13" t="n">
        <v>10</v>
      </c>
      <c r="J48" s="13" t="n">
        <v>508.6</v>
      </c>
      <c r="K48" s="13" t="n">
        <v>-1</v>
      </c>
      <c r="L48" s="16" t="n">
        <v>1</v>
      </c>
    </row>
    <row r="49" ht="15" customHeight="1" s="11">
      <c r="A49" s="14" t="n">
        <v>48</v>
      </c>
      <c r="B49" s="14" t="inlineStr">
        <is>
          <t>COW036</t>
        </is>
      </c>
      <c r="C49" s="14" t="n">
        <v>7.5</v>
      </c>
      <c r="D49" s="14" t="n">
        <v>5</v>
      </c>
      <c r="E49" s="14" t="n">
        <v>18.77</v>
      </c>
      <c r="F49" s="14" t="n">
        <v>-5.19</v>
      </c>
      <c r="G49" s="14" t="n">
        <v>19</v>
      </c>
      <c r="H49" s="14" t="n">
        <v>21</v>
      </c>
      <c r="I49" s="14" t="n">
        <v>9</v>
      </c>
      <c r="J49" s="14" t="n">
        <v>414.4</v>
      </c>
      <c r="K49" s="14" t="n">
        <v>-2</v>
      </c>
      <c r="L49" s="16" t="n">
        <v>1</v>
      </c>
    </row>
    <row r="50" ht="15" customHeight="1" s="11">
      <c r="A50" s="13" t="n">
        <v>49</v>
      </c>
      <c r="B50" s="13" t="inlineStr">
        <is>
          <t>COW002</t>
        </is>
      </c>
      <c r="C50" s="13" t="n">
        <v>2.4</v>
      </c>
      <c r="D50" s="13" t="n">
        <v>3</v>
      </c>
      <c r="E50" s="13" t="n">
        <v>21.24</v>
      </c>
      <c r="F50" s="13" t="n">
        <v>1.29</v>
      </c>
      <c r="G50" s="13" t="n">
        <v>21</v>
      </c>
      <c r="H50" s="13" t="n">
        <v>6</v>
      </c>
      <c r="I50" s="13" t="n">
        <v>6</v>
      </c>
      <c r="J50" s="13" t="n">
        <v>549.8</v>
      </c>
      <c r="K50" s="13" t="n">
        <v>15</v>
      </c>
      <c r="L50" s="17" t="n">
        <v>0</v>
      </c>
    </row>
    <row r="51" ht="15" customHeight="1" s="11">
      <c r="A51" s="14" t="n">
        <v>50</v>
      </c>
      <c r="B51" s="14" t="inlineStr">
        <is>
          <t>COW043</t>
        </is>
      </c>
      <c r="C51" s="14" t="n">
        <v>7.7</v>
      </c>
      <c r="D51" s="14" t="n">
        <v>4</v>
      </c>
      <c r="E51" s="14" t="n">
        <v>18.62</v>
      </c>
      <c r="F51" s="14" t="n">
        <v>-6.21</v>
      </c>
      <c r="G51" s="14" t="n">
        <v>18</v>
      </c>
      <c r="H51" s="14" t="n">
        <v>21</v>
      </c>
      <c r="I51" s="14" t="n">
        <v>8</v>
      </c>
      <c r="J51" s="14" t="n">
        <v>342.9</v>
      </c>
      <c r="K51" s="14" t="n">
        <v>-3</v>
      </c>
      <c r="L51" s="16" t="n">
        <v>1</v>
      </c>
    </row>
    <row r="52" ht="15" customHeight="1" s="11">
      <c r="A52" s="13" t="n">
        <v>51</v>
      </c>
      <c r="B52" s="13" t="inlineStr">
        <is>
          <t>COW010</t>
        </is>
      </c>
      <c r="C52" s="13" t="n">
        <v>3.5</v>
      </c>
      <c r="D52" s="13" t="n">
        <v>5</v>
      </c>
      <c r="E52" s="13" t="n">
        <v>23.3</v>
      </c>
      <c r="F52" s="13" t="n">
        <v>-6.08</v>
      </c>
      <c r="G52" s="13" t="n">
        <v>20</v>
      </c>
      <c r="H52" s="13" t="n">
        <v>3</v>
      </c>
      <c r="I52" s="13" t="n">
        <v>7</v>
      </c>
      <c r="J52" s="13" t="n">
        <v>397.2</v>
      </c>
      <c r="K52" s="13" t="n">
        <v>17</v>
      </c>
      <c r="L52" s="17" t="n">
        <v>0</v>
      </c>
    </row>
    <row r="53" ht="15" customHeight="1" s="11">
      <c r="A53" s="14" t="n">
        <v>52</v>
      </c>
      <c r="B53" s="14" t="inlineStr">
        <is>
          <t>COW006</t>
        </is>
      </c>
      <c r="C53" s="14" t="n">
        <v>6.2</v>
      </c>
      <c r="D53" s="14" t="n">
        <v>5</v>
      </c>
      <c r="E53" s="14" t="n">
        <v>20.6</v>
      </c>
      <c r="F53" s="14" t="n">
        <v>-0.95</v>
      </c>
      <c r="G53" s="14" t="n">
        <v>18</v>
      </c>
      <c r="H53" s="14" t="n">
        <v>11</v>
      </c>
      <c r="I53" s="14" t="n">
        <v>7</v>
      </c>
      <c r="J53" s="14" t="n">
        <v>328</v>
      </c>
      <c r="K53" s="14" t="n">
        <v>7</v>
      </c>
      <c r="L53" s="17" t="n">
        <v>0</v>
      </c>
    </row>
    <row r="54" ht="15" customHeight="1" s="11">
      <c r="A54" s="13" t="n">
        <v>53</v>
      </c>
      <c r="B54" s="13" t="inlineStr">
        <is>
          <t>COW005</t>
        </is>
      </c>
      <c r="C54" s="13" t="n">
        <v>7</v>
      </c>
      <c r="D54" s="13" t="n">
        <v>4</v>
      </c>
      <c r="E54" s="13" t="n">
        <v>18.18</v>
      </c>
      <c r="F54" s="13" t="n">
        <v>8.83</v>
      </c>
      <c r="G54" s="13" t="n">
        <v>21</v>
      </c>
      <c r="H54" s="13" t="n">
        <v>7</v>
      </c>
      <c r="I54" s="13" t="n">
        <v>10</v>
      </c>
      <c r="J54" s="13" t="n">
        <v>332.2</v>
      </c>
      <c r="K54" s="13" t="n">
        <v>14</v>
      </c>
      <c r="L54" s="17" t="n">
        <v>0</v>
      </c>
    </row>
    <row r="55" ht="15" customHeight="1" s="11">
      <c r="A55" s="14" t="n">
        <v>54</v>
      </c>
      <c r="B55" s="14" t="inlineStr">
        <is>
          <t>COW028</t>
        </is>
      </c>
      <c r="C55" s="14" t="n">
        <v>2.1</v>
      </c>
      <c r="D55" s="14" t="n">
        <v>2</v>
      </c>
      <c r="E55" s="14" t="n">
        <v>20.12</v>
      </c>
      <c r="F55" s="14" t="n">
        <v>-3.13</v>
      </c>
      <c r="G55" s="14" t="n">
        <v>20</v>
      </c>
      <c r="H55" s="14" t="n">
        <v>24</v>
      </c>
      <c r="I55" s="14" t="n">
        <v>6</v>
      </c>
      <c r="J55" s="14" t="n">
        <v>499.3</v>
      </c>
      <c r="K55" s="14" t="n">
        <v>-4</v>
      </c>
      <c r="L55" s="16" t="n">
        <v>1</v>
      </c>
    </row>
    <row r="56" ht="15" customHeight="1" s="11">
      <c r="A56" s="13" t="n">
        <v>55</v>
      </c>
      <c r="B56" s="13" t="inlineStr">
        <is>
          <t>COW025</t>
        </is>
      </c>
      <c r="C56" s="13" t="n">
        <v>2.7</v>
      </c>
      <c r="D56" s="13" t="n">
        <v>4</v>
      </c>
      <c r="E56" s="13" t="n">
        <v>18.81</v>
      </c>
      <c r="F56" s="13" t="n">
        <v>6.88</v>
      </c>
      <c r="G56" s="13" t="n">
        <v>23</v>
      </c>
      <c r="H56" s="13" t="n">
        <v>11</v>
      </c>
      <c r="I56" s="13" t="n">
        <v>9</v>
      </c>
      <c r="J56" s="13" t="n">
        <v>424.1</v>
      </c>
      <c r="K56" s="13" t="n">
        <v>12</v>
      </c>
      <c r="L56" s="17" t="n">
        <v>0</v>
      </c>
    </row>
    <row r="57" ht="15" customHeight="1" s="11">
      <c r="A57" s="14" t="n">
        <v>56</v>
      </c>
      <c r="B57" s="14" t="inlineStr">
        <is>
          <t>COW003</t>
        </is>
      </c>
      <c r="C57" s="14" t="n">
        <v>6.6</v>
      </c>
      <c r="D57" s="14" t="n">
        <v>3</v>
      </c>
      <c r="E57" s="14" t="n">
        <v>21.27</v>
      </c>
      <c r="F57" s="14" t="n">
        <v>-3.1</v>
      </c>
      <c r="G57" s="14" t="n">
        <v>18</v>
      </c>
      <c r="H57" s="14" t="n">
        <v>8</v>
      </c>
      <c r="I57" s="14" t="n">
        <v>10</v>
      </c>
      <c r="J57" s="14" t="n">
        <v>362.8</v>
      </c>
      <c r="K57" s="14" t="n">
        <v>10</v>
      </c>
      <c r="L57" s="17" t="n">
        <v>0</v>
      </c>
    </row>
    <row r="58" ht="15" customHeight="1" s="11">
      <c r="A58" s="13" t="n">
        <v>57</v>
      </c>
      <c r="B58" s="13" t="inlineStr">
        <is>
          <t>COW029</t>
        </is>
      </c>
      <c r="C58" s="13" t="n">
        <v>3.3</v>
      </c>
      <c r="D58" s="13" t="n">
        <v>3</v>
      </c>
      <c r="E58" s="13" t="n">
        <v>24.21</v>
      </c>
      <c r="F58" s="13" t="n">
        <v>-4.58</v>
      </c>
      <c r="G58" s="13" t="n">
        <v>20</v>
      </c>
      <c r="H58" s="13" t="n">
        <v>19</v>
      </c>
      <c r="I58" s="13" t="n">
        <v>10</v>
      </c>
      <c r="J58" s="13" t="n">
        <v>362.7</v>
      </c>
      <c r="K58" s="13" t="n">
        <v>1</v>
      </c>
      <c r="L58" s="16" t="n">
        <v>1</v>
      </c>
    </row>
    <row r="59" ht="15" customHeight="1" s="11">
      <c r="A59" s="14" t="n">
        <v>58</v>
      </c>
      <c r="B59" s="14" t="inlineStr">
        <is>
          <t>COW002</t>
        </is>
      </c>
      <c r="C59" s="14" t="n">
        <v>6</v>
      </c>
      <c r="D59" s="14" t="n">
        <v>5</v>
      </c>
      <c r="E59" s="14" t="n">
        <v>18.17</v>
      </c>
      <c r="F59" s="14" t="n">
        <v>4.87</v>
      </c>
      <c r="G59" s="14" t="n">
        <v>18</v>
      </c>
      <c r="H59" s="14" t="n">
        <v>24</v>
      </c>
      <c r="I59" s="14" t="n">
        <v>9</v>
      </c>
      <c r="J59" s="14" t="n">
        <v>321.5</v>
      </c>
      <c r="K59" s="14" t="n">
        <v>-6</v>
      </c>
      <c r="L59" s="16" t="n">
        <v>1</v>
      </c>
    </row>
    <row r="60" ht="15" customHeight="1" s="11">
      <c r="A60" s="13" t="n">
        <v>59</v>
      </c>
      <c r="B60" s="13" t="inlineStr">
        <is>
          <t>COW035</t>
        </is>
      </c>
      <c r="C60" s="13" t="n">
        <v>3.7</v>
      </c>
      <c r="D60" s="13" t="n">
        <v>4</v>
      </c>
      <c r="E60" s="13" t="n">
        <v>22.26</v>
      </c>
      <c r="F60" s="13" t="n">
        <v>8.59</v>
      </c>
      <c r="G60" s="13" t="n">
        <v>20</v>
      </c>
      <c r="H60" s="13" t="n">
        <v>16</v>
      </c>
      <c r="I60" s="13" t="n">
        <v>7</v>
      </c>
      <c r="J60" s="13" t="n">
        <v>485.7</v>
      </c>
      <c r="K60" s="13" t="n">
        <v>4</v>
      </c>
      <c r="L60" s="17" t="n">
        <v>0</v>
      </c>
    </row>
    <row r="61" ht="15" customHeight="1" s="11">
      <c r="A61" s="14" t="n">
        <v>60</v>
      </c>
      <c r="B61" s="14" t="inlineStr">
        <is>
          <t>COW030</t>
        </is>
      </c>
      <c r="C61" s="14" t="n">
        <v>7.5</v>
      </c>
      <c r="D61" s="14" t="n">
        <v>1</v>
      </c>
      <c r="E61" s="14" t="n">
        <v>27.16</v>
      </c>
      <c r="F61" s="14" t="n">
        <v>-2.03</v>
      </c>
      <c r="G61" s="14" t="n">
        <v>19</v>
      </c>
      <c r="H61" s="14" t="n">
        <v>2</v>
      </c>
      <c r="I61" s="14" t="n">
        <v>10</v>
      </c>
      <c r="J61" s="14" t="n">
        <v>594.6</v>
      </c>
      <c r="K61" s="14" t="n">
        <v>17</v>
      </c>
      <c r="L61" s="17" t="n">
        <v>0</v>
      </c>
    </row>
    <row r="62" ht="15" customHeight="1" s="11">
      <c r="A62" s="13" t="n">
        <v>61</v>
      </c>
      <c r="B62" s="13" t="inlineStr">
        <is>
          <t>COW009</t>
        </is>
      </c>
      <c r="C62" s="13" t="n">
        <v>6.5</v>
      </c>
      <c r="D62" s="13" t="n">
        <v>3</v>
      </c>
      <c r="E62" s="13" t="n">
        <v>27.96</v>
      </c>
      <c r="F62" s="13" t="n">
        <v>-8.300000000000001</v>
      </c>
      <c r="G62" s="13" t="n">
        <v>18</v>
      </c>
      <c r="H62" s="13" t="n">
        <v>1</v>
      </c>
      <c r="I62" s="13" t="n">
        <v>10</v>
      </c>
      <c r="J62" s="13" t="n">
        <v>308.4</v>
      </c>
      <c r="K62" s="13" t="n">
        <v>17</v>
      </c>
      <c r="L62" s="17" t="n">
        <v>0</v>
      </c>
    </row>
    <row r="63" ht="15" customHeight="1" s="11">
      <c r="A63" s="14" t="n">
        <v>62</v>
      </c>
      <c r="B63" s="14" t="inlineStr">
        <is>
          <t>COW021</t>
        </is>
      </c>
      <c r="C63" s="14" t="n">
        <v>7.2</v>
      </c>
      <c r="D63" s="14" t="n">
        <v>2</v>
      </c>
      <c r="E63" s="14" t="n">
        <v>22.23</v>
      </c>
      <c r="F63" s="14" t="n">
        <v>3.26</v>
      </c>
      <c r="G63" s="14" t="n">
        <v>22</v>
      </c>
      <c r="H63" s="14" t="n">
        <v>18</v>
      </c>
      <c r="I63" s="14" t="n">
        <v>6</v>
      </c>
      <c r="J63" s="14" t="n">
        <v>286.7</v>
      </c>
      <c r="K63" s="14" t="n">
        <v>4</v>
      </c>
      <c r="L63" s="17" t="n">
        <v>0</v>
      </c>
    </row>
    <row r="64" ht="15" customHeight="1" s="11">
      <c r="A64" s="13" t="n">
        <v>63</v>
      </c>
      <c r="B64" s="13" t="inlineStr">
        <is>
          <t>COW045</t>
        </is>
      </c>
      <c r="C64" s="13" t="n">
        <v>3.3</v>
      </c>
      <c r="D64" s="13" t="n">
        <v>1</v>
      </c>
      <c r="E64" s="13" t="n">
        <v>18.13</v>
      </c>
      <c r="F64" s="13" t="n">
        <v>-1.41</v>
      </c>
      <c r="G64" s="13" t="n">
        <v>20</v>
      </c>
      <c r="H64" s="13" t="n">
        <v>5</v>
      </c>
      <c r="I64" s="13" t="n">
        <v>7</v>
      </c>
      <c r="J64" s="13" t="n">
        <v>558.4</v>
      </c>
      <c r="K64" s="13" t="n">
        <v>15</v>
      </c>
      <c r="L64" s="17" t="n">
        <v>0</v>
      </c>
    </row>
    <row r="65" ht="15" customHeight="1" s="11">
      <c r="A65" s="14" t="n">
        <v>64</v>
      </c>
      <c r="B65" s="14" t="inlineStr">
        <is>
          <t>COW007</t>
        </is>
      </c>
      <c r="C65" s="14" t="n">
        <v>3.7</v>
      </c>
      <c r="D65" s="14" t="n">
        <v>2</v>
      </c>
      <c r="E65" s="14" t="n">
        <v>25.06</v>
      </c>
      <c r="F65" s="14" t="n">
        <v>-7.91</v>
      </c>
      <c r="G65" s="14" t="n">
        <v>24</v>
      </c>
      <c r="H65" s="14" t="n">
        <v>5</v>
      </c>
      <c r="I65" s="14" t="n">
        <v>9</v>
      </c>
      <c r="J65" s="14" t="n">
        <v>411.3</v>
      </c>
      <c r="K65" s="14" t="n">
        <v>19</v>
      </c>
      <c r="L65" s="17" t="n">
        <v>0</v>
      </c>
    </row>
    <row r="66" ht="15" customHeight="1" s="11">
      <c r="A66" s="13" t="n">
        <v>65</v>
      </c>
      <c r="B66" s="13" t="inlineStr">
        <is>
          <t>COW003</t>
        </is>
      </c>
      <c r="C66" s="13" t="n">
        <v>2.5</v>
      </c>
      <c r="D66" s="13" t="n">
        <v>5</v>
      </c>
      <c r="E66" s="13" t="n">
        <v>21.04</v>
      </c>
      <c r="F66" s="13" t="n">
        <v>6.98</v>
      </c>
      <c r="G66" s="13" t="n">
        <v>23</v>
      </c>
      <c r="H66" s="13" t="n">
        <v>5</v>
      </c>
      <c r="I66" s="13" t="n">
        <v>8</v>
      </c>
      <c r="J66" s="13" t="n">
        <v>527.4</v>
      </c>
      <c r="K66" s="13" t="n">
        <v>18</v>
      </c>
      <c r="L66" s="17" t="n">
        <v>0</v>
      </c>
    </row>
    <row r="67" ht="15" customHeight="1" s="11">
      <c r="A67" s="14" t="n">
        <v>66</v>
      </c>
      <c r="B67" s="14" t="inlineStr">
        <is>
          <t>COW050</t>
        </is>
      </c>
      <c r="C67" s="14" t="n">
        <v>6.5</v>
      </c>
      <c r="D67" s="14" t="n">
        <v>1</v>
      </c>
      <c r="E67" s="14" t="n">
        <v>20.51</v>
      </c>
      <c r="F67" s="14" t="n">
        <v>-2.18</v>
      </c>
      <c r="G67" s="14" t="n">
        <v>20</v>
      </c>
      <c r="H67" s="14" t="n">
        <v>19</v>
      </c>
      <c r="I67" s="14" t="n">
        <v>9</v>
      </c>
      <c r="J67" s="14" t="n">
        <v>354</v>
      </c>
      <c r="K67" s="14" t="n">
        <v>1</v>
      </c>
      <c r="L67" s="16" t="n">
        <v>1</v>
      </c>
    </row>
    <row r="68" ht="15" customHeight="1" s="11">
      <c r="A68" s="13" t="n">
        <v>67</v>
      </c>
      <c r="B68" s="13" t="inlineStr">
        <is>
          <t>COW022</t>
        </is>
      </c>
      <c r="C68" s="13" t="n">
        <v>5</v>
      </c>
      <c r="D68" s="13" t="n">
        <v>4</v>
      </c>
      <c r="E68" s="13" t="n">
        <v>20.52</v>
      </c>
      <c r="F68" s="13" t="n">
        <v>-4.94</v>
      </c>
      <c r="G68" s="13" t="n">
        <v>19</v>
      </c>
      <c r="H68" s="13" t="n">
        <v>14</v>
      </c>
      <c r="I68" s="13" t="n">
        <v>8</v>
      </c>
      <c r="J68" s="13" t="n">
        <v>330.7</v>
      </c>
      <c r="K68" s="13" t="n">
        <v>5</v>
      </c>
      <c r="L68" s="17" t="n">
        <v>0</v>
      </c>
    </row>
    <row r="69" ht="15" customHeight="1" s="11">
      <c r="A69" s="14" t="n">
        <v>68</v>
      </c>
      <c r="B69" s="14" t="inlineStr">
        <is>
          <t>COW010</t>
        </is>
      </c>
      <c r="C69" s="14" t="n">
        <v>5.1</v>
      </c>
      <c r="D69" s="14" t="n">
        <v>5</v>
      </c>
      <c r="E69" s="14" t="n">
        <v>20.3</v>
      </c>
      <c r="F69" s="14" t="n">
        <v>-2.9</v>
      </c>
      <c r="G69" s="14" t="n">
        <v>22</v>
      </c>
      <c r="H69" s="14" t="n">
        <v>2</v>
      </c>
      <c r="I69" s="14" t="n">
        <v>7</v>
      </c>
      <c r="J69" s="14" t="n">
        <v>469</v>
      </c>
      <c r="K69" s="14" t="n">
        <v>20</v>
      </c>
      <c r="L69" s="17" t="n">
        <v>0</v>
      </c>
    </row>
    <row r="70" ht="15" customHeight="1" s="11">
      <c r="A70" s="13" t="n">
        <v>69</v>
      </c>
      <c r="B70" s="13" t="inlineStr">
        <is>
          <t>COW006</t>
        </is>
      </c>
      <c r="C70" s="13" t="n">
        <v>5.4</v>
      </c>
      <c r="D70" s="13" t="n">
        <v>3</v>
      </c>
      <c r="E70" s="13" t="n">
        <v>25.25</v>
      </c>
      <c r="F70" s="13" t="n">
        <v>4.67</v>
      </c>
      <c r="G70" s="13" t="n">
        <v>22</v>
      </c>
      <c r="H70" s="13" t="n">
        <v>25</v>
      </c>
      <c r="I70" s="13" t="n">
        <v>6</v>
      </c>
      <c r="J70" s="13" t="n">
        <v>283.6</v>
      </c>
      <c r="K70" s="13" t="n">
        <v>-3</v>
      </c>
      <c r="L70" s="16" t="n">
        <v>1</v>
      </c>
    </row>
    <row r="71" ht="15" customHeight="1" s="11">
      <c r="A71" s="14" t="n">
        <v>70</v>
      </c>
      <c r="B71" s="14" t="inlineStr">
        <is>
          <t>COW008</t>
        </is>
      </c>
      <c r="C71" s="14" t="n">
        <v>4.6</v>
      </c>
      <c r="D71" s="14" t="n">
        <v>1</v>
      </c>
      <c r="E71" s="14" t="n">
        <v>18.84</v>
      </c>
      <c r="F71" s="14" t="n">
        <v>-6.1</v>
      </c>
      <c r="G71" s="14" t="n">
        <v>18</v>
      </c>
      <c r="H71" s="14" t="n">
        <v>24</v>
      </c>
      <c r="I71" s="14" t="n">
        <v>7</v>
      </c>
      <c r="J71" s="14" t="n">
        <v>381.6</v>
      </c>
      <c r="K71" s="14" t="n">
        <v>-6</v>
      </c>
      <c r="L71" s="16" t="n">
        <v>1</v>
      </c>
    </row>
    <row r="72" ht="15" customHeight="1" s="11">
      <c r="A72" s="13" t="n">
        <v>71</v>
      </c>
      <c r="B72" s="13" t="inlineStr">
        <is>
          <t>COW008</t>
        </is>
      </c>
      <c r="C72" s="13" t="n">
        <v>2.9</v>
      </c>
      <c r="D72" s="13" t="n">
        <v>3</v>
      </c>
      <c r="E72" s="13" t="n">
        <v>25.08</v>
      </c>
      <c r="F72" s="13" t="n">
        <v>-6.54</v>
      </c>
      <c r="G72" s="13" t="n">
        <v>22</v>
      </c>
      <c r="H72" s="13" t="n">
        <v>21</v>
      </c>
      <c r="I72" s="13" t="n">
        <v>7</v>
      </c>
      <c r="J72" s="13" t="n">
        <v>310.3</v>
      </c>
      <c r="K72" s="13" t="n">
        <v>1</v>
      </c>
      <c r="L72" s="16" t="n">
        <v>1</v>
      </c>
    </row>
    <row r="73" ht="15" customHeight="1" s="11">
      <c r="A73" s="14" t="n">
        <v>72</v>
      </c>
      <c r="B73" s="14" t="inlineStr">
        <is>
          <t>COW040</t>
        </is>
      </c>
      <c r="C73" s="14" t="n">
        <v>3.9</v>
      </c>
      <c r="D73" s="14" t="n">
        <v>2</v>
      </c>
      <c r="E73" s="14" t="n">
        <v>20.98</v>
      </c>
      <c r="F73" s="14" t="n">
        <v>-3.3</v>
      </c>
      <c r="G73" s="14" t="n">
        <v>18</v>
      </c>
      <c r="H73" s="14" t="n">
        <v>14</v>
      </c>
      <c r="I73" s="14" t="n">
        <v>8</v>
      </c>
      <c r="J73" s="14" t="n">
        <v>443</v>
      </c>
      <c r="K73" s="14" t="n">
        <v>4</v>
      </c>
      <c r="L73" s="17" t="n">
        <v>0</v>
      </c>
    </row>
    <row r="74" ht="15" customHeight="1" s="11">
      <c r="A74" s="13" t="n">
        <v>73</v>
      </c>
      <c r="B74" s="13" t="inlineStr">
        <is>
          <t>COW041</t>
        </is>
      </c>
      <c r="C74" s="13" t="n">
        <v>4.1</v>
      </c>
      <c r="D74" s="13" t="n">
        <v>3</v>
      </c>
      <c r="E74" s="13" t="n">
        <v>19.31</v>
      </c>
      <c r="F74" s="13" t="n">
        <v>4.06</v>
      </c>
      <c r="G74" s="13" t="n">
        <v>23</v>
      </c>
      <c r="H74" s="13" t="n">
        <v>17</v>
      </c>
      <c r="I74" s="13" t="n">
        <v>7</v>
      </c>
      <c r="J74" s="13" t="n">
        <v>569.3</v>
      </c>
      <c r="K74" s="13" t="n">
        <v>6</v>
      </c>
      <c r="L74" s="17" t="n">
        <v>0</v>
      </c>
    </row>
    <row r="75" ht="15" customHeight="1" s="11">
      <c r="A75" s="14" t="n">
        <v>74</v>
      </c>
      <c r="B75" s="14" t="inlineStr">
        <is>
          <t>COW034</t>
        </is>
      </c>
      <c r="C75" s="14" t="n">
        <v>5.1</v>
      </c>
      <c r="D75" s="14" t="n">
        <v>4</v>
      </c>
      <c r="E75" s="14" t="n">
        <v>25.18</v>
      </c>
      <c r="F75" s="14" t="n">
        <v>9.210000000000001</v>
      </c>
      <c r="G75" s="14" t="n">
        <v>22</v>
      </c>
      <c r="H75" s="14" t="n">
        <v>11</v>
      </c>
      <c r="I75" s="14" t="n">
        <v>10</v>
      </c>
      <c r="J75" s="14" t="n">
        <v>340.1</v>
      </c>
      <c r="K75" s="14" t="n">
        <v>11</v>
      </c>
      <c r="L75" s="17" t="n">
        <v>0</v>
      </c>
    </row>
    <row r="76" ht="15" customHeight="1" s="11">
      <c r="A76" s="13" t="n">
        <v>75</v>
      </c>
      <c r="B76" s="13" t="inlineStr">
        <is>
          <t>COW003</t>
        </is>
      </c>
      <c r="C76" s="13" t="n">
        <v>7.1</v>
      </c>
      <c r="D76" s="13" t="n">
        <v>5</v>
      </c>
      <c r="E76" s="13" t="n">
        <v>21.07</v>
      </c>
      <c r="F76" s="13" t="n">
        <v>-9.67</v>
      </c>
      <c r="G76" s="13" t="n">
        <v>22</v>
      </c>
      <c r="H76" s="13" t="n">
        <v>11</v>
      </c>
      <c r="I76" s="13" t="n">
        <v>7</v>
      </c>
      <c r="J76" s="13" t="n">
        <v>323.6</v>
      </c>
      <c r="K76" s="13" t="n">
        <v>11</v>
      </c>
      <c r="L76" s="17" t="n">
        <v>0</v>
      </c>
    </row>
    <row r="77" ht="15" customHeight="1" s="11">
      <c r="A77" s="14" t="n">
        <v>76</v>
      </c>
      <c r="B77" s="14" t="inlineStr">
        <is>
          <t>COW045</t>
        </is>
      </c>
      <c r="C77" s="14" t="n">
        <v>2.4</v>
      </c>
      <c r="D77" s="14" t="n">
        <v>3</v>
      </c>
      <c r="E77" s="14" t="n">
        <v>27.55</v>
      </c>
      <c r="F77" s="14" t="n">
        <v>1.16</v>
      </c>
      <c r="G77" s="14" t="n">
        <v>24</v>
      </c>
      <c r="H77" s="14" t="n">
        <v>11</v>
      </c>
      <c r="I77" s="14" t="n">
        <v>7</v>
      </c>
      <c r="J77" s="14" t="n">
        <v>468.2</v>
      </c>
      <c r="K77" s="14" t="n">
        <v>13</v>
      </c>
      <c r="L77" s="17" t="n">
        <v>0</v>
      </c>
    </row>
    <row r="78" ht="15" customHeight="1" s="11">
      <c r="A78" s="13" t="n">
        <v>77</v>
      </c>
      <c r="B78" s="13" t="inlineStr">
        <is>
          <t>COW011</t>
        </is>
      </c>
      <c r="C78" s="13" t="n">
        <v>7.7</v>
      </c>
      <c r="D78" s="13" t="n">
        <v>1</v>
      </c>
      <c r="E78" s="13" t="n">
        <v>25.27</v>
      </c>
      <c r="F78" s="13" t="n">
        <v>-4.09</v>
      </c>
      <c r="G78" s="13" t="n">
        <v>23</v>
      </c>
      <c r="H78" s="13" t="n">
        <v>10</v>
      </c>
      <c r="I78" s="13" t="n">
        <v>9</v>
      </c>
      <c r="J78" s="13" t="n">
        <v>347.5</v>
      </c>
      <c r="K78" s="13" t="n">
        <v>13</v>
      </c>
      <c r="L78" s="17" t="n">
        <v>0</v>
      </c>
    </row>
    <row r="79" ht="15" customHeight="1" s="11">
      <c r="A79" s="14" t="n">
        <v>78</v>
      </c>
      <c r="B79" s="14" t="inlineStr">
        <is>
          <t>COW042</t>
        </is>
      </c>
      <c r="C79" s="14" t="n">
        <v>2.2</v>
      </c>
      <c r="D79" s="14" t="n">
        <v>1</v>
      </c>
      <c r="E79" s="14" t="n">
        <v>22.75</v>
      </c>
      <c r="F79" s="14" t="n">
        <v>-1.43</v>
      </c>
      <c r="G79" s="14" t="n">
        <v>22</v>
      </c>
      <c r="H79" s="14" t="n">
        <v>17</v>
      </c>
      <c r="I79" s="14" t="n">
        <v>9</v>
      </c>
      <c r="J79" s="14" t="n">
        <v>406.7</v>
      </c>
      <c r="K79" s="14" t="n">
        <v>5</v>
      </c>
      <c r="L79" s="17" t="n">
        <v>0</v>
      </c>
    </row>
    <row r="80" ht="15" customHeight="1" s="11">
      <c r="A80" s="13" t="n">
        <v>79</v>
      </c>
      <c r="B80" s="13" t="inlineStr">
        <is>
          <t>COW044</t>
        </is>
      </c>
      <c r="C80" s="13" t="n">
        <v>7</v>
      </c>
      <c r="D80" s="13" t="n">
        <v>4</v>
      </c>
      <c r="E80" s="13" t="n">
        <v>20.59</v>
      </c>
      <c r="F80" s="13" t="n">
        <v>8.369999999999999</v>
      </c>
      <c r="G80" s="13" t="n">
        <v>24</v>
      </c>
      <c r="H80" s="13" t="n">
        <v>11</v>
      </c>
      <c r="I80" s="13" t="n">
        <v>7</v>
      </c>
      <c r="J80" s="13" t="n">
        <v>301.5</v>
      </c>
      <c r="K80" s="13" t="n">
        <v>13</v>
      </c>
      <c r="L80" s="17" t="n">
        <v>0</v>
      </c>
    </row>
    <row r="81" ht="15" customHeight="1" s="11">
      <c r="A81" s="14" t="n">
        <v>80</v>
      </c>
      <c r="B81" s="14" t="inlineStr">
        <is>
          <t>COW019</t>
        </is>
      </c>
      <c r="C81" s="14" t="n">
        <v>2.6</v>
      </c>
      <c r="D81" s="14" t="n">
        <v>1</v>
      </c>
      <c r="E81" s="14" t="n">
        <v>21.68</v>
      </c>
      <c r="F81" s="14" t="n">
        <v>-3.73</v>
      </c>
      <c r="G81" s="14" t="n">
        <v>19</v>
      </c>
      <c r="H81" s="14" t="n">
        <v>18</v>
      </c>
      <c r="I81" s="14" t="n">
        <v>6</v>
      </c>
      <c r="J81" s="14" t="n">
        <v>485.5</v>
      </c>
      <c r="K81" s="14" t="n">
        <v>1</v>
      </c>
      <c r="L81" s="16" t="n">
        <v>1</v>
      </c>
    </row>
    <row r="82" ht="15" customHeight="1" s="11">
      <c r="A82" s="13" t="n">
        <v>81</v>
      </c>
      <c r="B82" s="13" t="inlineStr">
        <is>
          <t>COW043</t>
        </is>
      </c>
      <c r="C82" s="13" t="n">
        <v>8</v>
      </c>
      <c r="D82" s="13" t="n">
        <v>3</v>
      </c>
      <c r="E82" s="13" t="n">
        <v>22.08</v>
      </c>
      <c r="F82" s="13" t="n">
        <v>-7.42</v>
      </c>
      <c r="G82" s="13" t="n">
        <v>23</v>
      </c>
      <c r="H82" s="13" t="n">
        <v>4</v>
      </c>
      <c r="I82" s="13" t="n">
        <v>8</v>
      </c>
      <c r="J82" s="13" t="n">
        <v>609.8</v>
      </c>
      <c r="K82" s="13" t="n">
        <v>19</v>
      </c>
      <c r="L82" s="17" t="n">
        <v>0</v>
      </c>
    </row>
    <row r="83" ht="15" customHeight="1" s="11">
      <c r="A83" s="14" t="n">
        <v>82</v>
      </c>
      <c r="B83" s="14" t="inlineStr">
        <is>
          <t>COW009</t>
        </is>
      </c>
      <c r="C83" s="14" t="n">
        <v>6.7</v>
      </c>
      <c r="D83" s="14" t="n">
        <v>1</v>
      </c>
      <c r="E83" s="14" t="n">
        <v>23.48</v>
      </c>
      <c r="F83" s="14" t="n">
        <v>0.7</v>
      </c>
      <c r="G83" s="14" t="n">
        <v>19</v>
      </c>
      <c r="H83" s="14" t="n">
        <v>7</v>
      </c>
      <c r="I83" s="14" t="n">
        <v>9</v>
      </c>
      <c r="J83" s="14" t="n">
        <v>458</v>
      </c>
      <c r="K83" s="14" t="n">
        <v>12</v>
      </c>
      <c r="L83" s="17" t="n">
        <v>0</v>
      </c>
    </row>
    <row r="84" ht="15" customHeight="1" s="11">
      <c r="A84" s="13" t="n">
        <v>83</v>
      </c>
      <c r="B84" s="13" t="inlineStr">
        <is>
          <t>COW042</t>
        </is>
      </c>
      <c r="C84" s="13" t="n">
        <v>3.6</v>
      </c>
      <c r="D84" s="13" t="n">
        <v>4</v>
      </c>
      <c r="E84" s="13" t="n">
        <v>25.43</v>
      </c>
      <c r="F84" s="13" t="n">
        <v>-8.15</v>
      </c>
      <c r="G84" s="13" t="n">
        <v>20</v>
      </c>
      <c r="H84" s="13" t="n">
        <v>0</v>
      </c>
      <c r="I84" s="13" t="n">
        <v>9</v>
      </c>
      <c r="J84" s="13" t="n">
        <v>357.7</v>
      </c>
      <c r="K84" s="13" t="n">
        <v>20</v>
      </c>
      <c r="L84" s="17" t="n">
        <v>0</v>
      </c>
    </row>
    <row r="85" ht="15" customHeight="1" s="11">
      <c r="A85" s="14" t="n">
        <v>84</v>
      </c>
      <c r="B85" s="14" t="inlineStr">
        <is>
          <t>COW005</t>
        </is>
      </c>
      <c r="C85" s="14" t="n">
        <v>2.4</v>
      </c>
      <c r="D85" s="14" t="n">
        <v>3</v>
      </c>
      <c r="E85" s="14" t="n">
        <v>20.42</v>
      </c>
      <c r="F85" s="14" t="n">
        <v>0.15</v>
      </c>
      <c r="G85" s="14" t="n">
        <v>18</v>
      </c>
      <c r="H85" s="14" t="n">
        <v>4</v>
      </c>
      <c r="I85" s="14" t="n">
        <v>9</v>
      </c>
      <c r="J85" s="14" t="n">
        <v>555.8</v>
      </c>
      <c r="K85" s="14" t="n">
        <v>14</v>
      </c>
      <c r="L85" s="17" t="n">
        <v>0</v>
      </c>
    </row>
    <row r="86" ht="15" customHeight="1" s="11">
      <c r="A86" s="13" t="n">
        <v>85</v>
      </c>
      <c r="B86" s="13" t="inlineStr">
        <is>
          <t>COW005</t>
        </is>
      </c>
      <c r="C86" s="13" t="n">
        <v>7.5</v>
      </c>
      <c r="D86" s="13" t="n">
        <v>5</v>
      </c>
      <c r="E86" s="13" t="n">
        <v>27.57</v>
      </c>
      <c r="F86" s="13" t="n">
        <v>9.300000000000001</v>
      </c>
      <c r="G86" s="13" t="n">
        <v>20</v>
      </c>
      <c r="H86" s="13" t="n">
        <v>24</v>
      </c>
      <c r="I86" s="13" t="n">
        <v>10</v>
      </c>
      <c r="J86" s="13" t="n">
        <v>612.2</v>
      </c>
      <c r="K86" s="13" t="n">
        <v>-4</v>
      </c>
      <c r="L86" s="16" t="n">
        <v>1</v>
      </c>
    </row>
    <row r="87" ht="15" customHeight="1" s="11">
      <c r="A87" s="14" t="n">
        <v>86</v>
      </c>
      <c r="B87" s="14" t="inlineStr">
        <is>
          <t>COW032</t>
        </is>
      </c>
      <c r="C87" s="14" t="n">
        <v>2.1</v>
      </c>
      <c r="D87" s="14" t="n">
        <v>2</v>
      </c>
      <c r="E87" s="14" t="n">
        <v>25.24</v>
      </c>
      <c r="F87" s="14" t="n">
        <v>8.640000000000001</v>
      </c>
      <c r="G87" s="14" t="n">
        <v>21</v>
      </c>
      <c r="H87" s="14" t="n">
        <v>6</v>
      </c>
      <c r="I87" s="14" t="n">
        <v>10</v>
      </c>
      <c r="J87" s="14" t="n">
        <v>539.1</v>
      </c>
      <c r="K87" s="14" t="n">
        <v>15</v>
      </c>
      <c r="L87" s="17" t="n">
        <v>0</v>
      </c>
    </row>
    <row r="88" ht="15" customHeight="1" s="11">
      <c r="A88" s="13" t="n">
        <v>87</v>
      </c>
      <c r="B88" s="13" t="inlineStr">
        <is>
          <t>COW009</t>
        </is>
      </c>
      <c r="C88" s="13" t="n">
        <v>5.8</v>
      </c>
      <c r="D88" s="13" t="n">
        <v>1</v>
      </c>
      <c r="E88" s="13" t="n">
        <v>20.17</v>
      </c>
      <c r="F88" s="13" t="n">
        <v>-9.109999999999999</v>
      </c>
      <c r="G88" s="13" t="n">
        <v>19</v>
      </c>
      <c r="H88" s="13" t="n">
        <v>4</v>
      </c>
      <c r="I88" s="13" t="n">
        <v>9</v>
      </c>
      <c r="J88" s="13" t="n">
        <v>342.7</v>
      </c>
      <c r="K88" s="13" t="n">
        <v>15</v>
      </c>
      <c r="L88" s="17" t="n">
        <v>0</v>
      </c>
    </row>
    <row r="89" ht="15" customHeight="1" s="11">
      <c r="A89" s="14" t="n">
        <v>88</v>
      </c>
      <c r="B89" s="14" t="inlineStr">
        <is>
          <t>COW041</t>
        </is>
      </c>
      <c r="C89" s="14" t="n">
        <v>7.8</v>
      </c>
      <c r="D89" s="14" t="n">
        <v>5</v>
      </c>
      <c r="E89" s="14" t="n">
        <v>22.58</v>
      </c>
      <c r="F89" s="14" t="n">
        <v>6.69</v>
      </c>
      <c r="G89" s="14" t="n">
        <v>18</v>
      </c>
      <c r="H89" s="14" t="n">
        <v>24</v>
      </c>
      <c r="I89" s="14" t="n">
        <v>6</v>
      </c>
      <c r="J89" s="14" t="n">
        <v>382.5</v>
      </c>
      <c r="K89" s="14" t="n">
        <v>-6</v>
      </c>
      <c r="L89" s="16" t="n">
        <v>1</v>
      </c>
    </row>
    <row r="90" ht="15" customHeight="1" s="11">
      <c r="A90" s="13" t="n">
        <v>89</v>
      </c>
      <c r="B90" s="13" t="inlineStr">
        <is>
          <t>COW023</t>
        </is>
      </c>
      <c r="C90" s="13" t="n">
        <v>2.2</v>
      </c>
      <c r="D90" s="13" t="n">
        <v>2</v>
      </c>
      <c r="E90" s="13" t="n">
        <v>23.7</v>
      </c>
      <c r="F90" s="13" t="n">
        <v>6.97</v>
      </c>
      <c r="G90" s="13" t="n">
        <v>24</v>
      </c>
      <c r="H90" s="13" t="n">
        <v>15</v>
      </c>
      <c r="I90" s="13" t="n">
        <v>7</v>
      </c>
      <c r="J90" s="13" t="n">
        <v>376.6</v>
      </c>
      <c r="K90" s="13" t="n">
        <v>9</v>
      </c>
      <c r="L90" s="17" t="n">
        <v>0</v>
      </c>
    </row>
    <row r="91" ht="15" customHeight="1" s="11">
      <c r="A91" s="14" t="n">
        <v>90</v>
      </c>
      <c r="B91" s="14" t="inlineStr">
        <is>
          <t>COW013</t>
        </is>
      </c>
      <c r="C91" s="14" t="n">
        <v>6.2</v>
      </c>
      <c r="D91" s="14" t="n">
        <v>2</v>
      </c>
      <c r="E91" s="14" t="n">
        <v>24.91</v>
      </c>
      <c r="F91" s="14" t="n">
        <v>-9.359999999999999</v>
      </c>
      <c r="G91" s="14" t="n">
        <v>20</v>
      </c>
      <c r="H91" s="14" t="n">
        <v>18</v>
      </c>
      <c r="I91" s="14" t="n">
        <v>8</v>
      </c>
      <c r="J91" s="14" t="n">
        <v>462.3</v>
      </c>
      <c r="K91" s="14" t="n">
        <v>2</v>
      </c>
      <c r="L91" s="16" t="n">
        <v>1</v>
      </c>
    </row>
    <row r="92" ht="15" customHeight="1" s="11">
      <c r="A92" s="13" t="n">
        <v>91</v>
      </c>
      <c r="B92" s="13" t="inlineStr">
        <is>
          <t>COW047</t>
        </is>
      </c>
      <c r="C92" s="13" t="n">
        <v>6</v>
      </c>
      <c r="D92" s="13" t="n">
        <v>3</v>
      </c>
      <c r="E92" s="13" t="n">
        <v>19.78</v>
      </c>
      <c r="F92" s="13" t="n">
        <v>-4.92</v>
      </c>
      <c r="G92" s="13" t="n">
        <v>24</v>
      </c>
      <c r="H92" s="13" t="n">
        <v>2</v>
      </c>
      <c r="I92" s="13" t="n">
        <v>9</v>
      </c>
      <c r="J92" s="13" t="n">
        <v>520.4</v>
      </c>
      <c r="K92" s="13" t="n">
        <v>22</v>
      </c>
      <c r="L92" s="17" t="n">
        <v>0</v>
      </c>
    </row>
    <row r="93" ht="15" customHeight="1" s="11">
      <c r="A93" s="14" t="n">
        <v>92</v>
      </c>
      <c r="B93" s="14" t="inlineStr">
        <is>
          <t>COW015</t>
        </is>
      </c>
      <c r="C93" s="14" t="n">
        <v>7.9</v>
      </c>
      <c r="D93" s="14" t="n">
        <v>5</v>
      </c>
      <c r="E93" s="14" t="n">
        <v>21.03</v>
      </c>
      <c r="F93" s="14" t="n">
        <v>-10</v>
      </c>
      <c r="G93" s="14" t="n">
        <v>19</v>
      </c>
      <c r="H93" s="14" t="n">
        <v>24</v>
      </c>
      <c r="I93" s="14" t="n">
        <v>6</v>
      </c>
      <c r="J93" s="14" t="n">
        <v>518.8</v>
      </c>
      <c r="K93" s="14" t="n">
        <v>-5</v>
      </c>
      <c r="L93" s="16" t="n">
        <v>1</v>
      </c>
    </row>
    <row r="94" ht="15" customHeight="1" s="11">
      <c r="A94" s="13" t="n">
        <v>93</v>
      </c>
      <c r="B94" s="13" t="inlineStr">
        <is>
          <t>COW026</t>
        </is>
      </c>
      <c r="C94" s="13" t="n">
        <v>3</v>
      </c>
      <c r="D94" s="13" t="n">
        <v>1</v>
      </c>
      <c r="E94" s="13" t="n">
        <v>19.59</v>
      </c>
      <c r="F94" s="13" t="n">
        <v>7.23</v>
      </c>
      <c r="G94" s="13" t="n">
        <v>20</v>
      </c>
      <c r="H94" s="13" t="n">
        <v>8</v>
      </c>
      <c r="I94" s="13" t="n">
        <v>8</v>
      </c>
      <c r="J94" s="13" t="n">
        <v>413.8</v>
      </c>
      <c r="K94" s="13" t="n">
        <v>12</v>
      </c>
      <c r="L94" s="17" t="n">
        <v>0</v>
      </c>
    </row>
    <row r="95" ht="15" customHeight="1" s="11">
      <c r="A95" s="14" t="n">
        <v>94</v>
      </c>
      <c r="B95" s="14" t="inlineStr">
        <is>
          <t>COW048</t>
        </is>
      </c>
      <c r="C95" s="14" t="n">
        <v>3</v>
      </c>
      <c r="D95" s="14" t="n">
        <v>3</v>
      </c>
      <c r="E95" s="14" t="n">
        <v>21.75</v>
      </c>
      <c r="F95" s="14" t="n">
        <v>-6.68</v>
      </c>
      <c r="G95" s="14" t="n">
        <v>19</v>
      </c>
      <c r="H95" s="14" t="n">
        <v>17</v>
      </c>
      <c r="I95" s="14" t="n">
        <v>9</v>
      </c>
      <c r="J95" s="14" t="n">
        <v>438</v>
      </c>
      <c r="K95" s="14" t="n">
        <v>2</v>
      </c>
      <c r="L95" s="16" t="n">
        <v>1</v>
      </c>
    </row>
    <row r="96" ht="15" customHeight="1" s="11">
      <c r="A96" s="13" t="n">
        <v>95</v>
      </c>
      <c r="B96" s="13" t="inlineStr">
        <is>
          <t>COW026</t>
        </is>
      </c>
      <c r="C96" s="13" t="n">
        <v>7</v>
      </c>
      <c r="D96" s="13" t="n">
        <v>3</v>
      </c>
      <c r="E96" s="13" t="n">
        <v>25.32</v>
      </c>
      <c r="F96" s="13" t="n">
        <v>-6.45</v>
      </c>
      <c r="G96" s="13" t="n">
        <v>22</v>
      </c>
      <c r="H96" s="13" t="n">
        <v>4</v>
      </c>
      <c r="I96" s="13" t="n">
        <v>10</v>
      </c>
      <c r="J96" s="13" t="n">
        <v>296.4</v>
      </c>
      <c r="K96" s="13" t="n">
        <v>18</v>
      </c>
      <c r="L96" s="17" t="n">
        <v>0</v>
      </c>
    </row>
    <row r="97" ht="15" customHeight="1" s="11">
      <c r="A97" s="14" t="n">
        <v>96</v>
      </c>
      <c r="B97" s="14" t="inlineStr">
        <is>
          <t>COW026</t>
        </is>
      </c>
      <c r="C97" s="14" t="n">
        <v>5.3</v>
      </c>
      <c r="D97" s="14" t="n">
        <v>5</v>
      </c>
      <c r="E97" s="14" t="n">
        <v>19.53</v>
      </c>
      <c r="F97" s="14" t="n">
        <v>9.140000000000001</v>
      </c>
      <c r="G97" s="14" t="n">
        <v>19</v>
      </c>
      <c r="H97" s="14" t="n">
        <v>16</v>
      </c>
      <c r="I97" s="14" t="n">
        <v>6</v>
      </c>
      <c r="J97" s="14" t="n">
        <v>549.7</v>
      </c>
      <c r="K97" s="14" t="n">
        <v>3</v>
      </c>
      <c r="L97" s="17" t="n">
        <v>0</v>
      </c>
    </row>
    <row r="98" ht="15" customHeight="1" s="11">
      <c r="A98" s="13" t="n">
        <v>97</v>
      </c>
      <c r="B98" s="13" t="inlineStr">
        <is>
          <t>COW041</t>
        </is>
      </c>
      <c r="C98" s="13" t="n">
        <v>7.9</v>
      </c>
      <c r="D98" s="13" t="n">
        <v>4</v>
      </c>
      <c r="E98" s="13" t="n">
        <v>23.32</v>
      </c>
      <c r="F98" s="13" t="n">
        <v>-3.43</v>
      </c>
      <c r="G98" s="13" t="n">
        <v>19</v>
      </c>
      <c r="H98" s="13" t="n">
        <v>22</v>
      </c>
      <c r="I98" s="13" t="n">
        <v>6</v>
      </c>
      <c r="J98" s="13" t="n">
        <v>310.4</v>
      </c>
      <c r="K98" s="13" t="n">
        <v>-3</v>
      </c>
      <c r="L98" s="16" t="n">
        <v>1</v>
      </c>
    </row>
    <row r="99" ht="15" customHeight="1" s="11">
      <c r="A99" s="14" t="n">
        <v>98</v>
      </c>
      <c r="B99" s="14" t="inlineStr">
        <is>
          <t>COW004</t>
        </is>
      </c>
      <c r="C99" s="14" t="n">
        <v>6.6</v>
      </c>
      <c r="D99" s="14" t="n">
        <v>4</v>
      </c>
      <c r="E99" s="14" t="n">
        <v>19.57</v>
      </c>
      <c r="F99" s="14" t="n">
        <v>-5.11</v>
      </c>
      <c r="G99" s="14" t="n">
        <v>21</v>
      </c>
      <c r="H99" s="14" t="n">
        <v>7</v>
      </c>
      <c r="I99" s="14" t="n">
        <v>8</v>
      </c>
      <c r="J99" s="14" t="n">
        <v>307.4</v>
      </c>
      <c r="K99" s="14" t="n">
        <v>14</v>
      </c>
      <c r="L99" s="17" t="n">
        <v>0</v>
      </c>
    </row>
    <row r="100" ht="15" customHeight="1" s="11">
      <c r="A100" s="13" t="n">
        <v>99</v>
      </c>
      <c r="B100" s="13" t="inlineStr">
        <is>
          <t>COW001</t>
        </is>
      </c>
      <c r="C100" s="13" t="n">
        <v>6.3</v>
      </c>
      <c r="D100" s="13" t="n">
        <v>1</v>
      </c>
      <c r="E100" s="13" t="n">
        <v>24.31</v>
      </c>
      <c r="F100" s="13" t="n">
        <v>-2.4</v>
      </c>
      <c r="G100" s="13" t="n">
        <v>23</v>
      </c>
      <c r="H100" s="13" t="n">
        <v>8</v>
      </c>
      <c r="I100" s="13" t="n">
        <v>9</v>
      </c>
      <c r="J100" s="13" t="n">
        <v>395.3</v>
      </c>
      <c r="K100" s="13" t="n">
        <v>15</v>
      </c>
      <c r="L100" s="17" t="n">
        <v>0</v>
      </c>
    </row>
    <row r="101" ht="15" customHeight="1" s="11">
      <c r="A101" s="14" t="n">
        <v>100</v>
      </c>
      <c r="B101" s="14" t="inlineStr">
        <is>
          <t>COW048</t>
        </is>
      </c>
      <c r="C101" s="14" t="n">
        <v>7.7</v>
      </c>
      <c r="D101" s="14" t="n">
        <v>5</v>
      </c>
      <c r="E101" s="14" t="n">
        <v>27.92</v>
      </c>
      <c r="F101" s="14" t="n">
        <v>-1.43</v>
      </c>
      <c r="G101" s="14" t="n">
        <v>24</v>
      </c>
      <c r="H101" s="14" t="n">
        <v>20</v>
      </c>
      <c r="I101" s="14" t="n">
        <v>9</v>
      </c>
      <c r="J101" s="14" t="n">
        <v>388.5</v>
      </c>
      <c r="K101" s="14" t="n">
        <v>4</v>
      </c>
      <c r="L101" s="17" t="n">
        <v>0</v>
      </c>
    </row>
    <row r="102" ht="15" customHeight="1" s="11">
      <c r="A102" s="13" t="n">
        <v>101</v>
      </c>
      <c r="B102" s="13" t="inlineStr">
        <is>
          <t>COW029</t>
        </is>
      </c>
      <c r="C102" s="13" t="n">
        <v>7.8</v>
      </c>
      <c r="D102" s="13" t="n">
        <v>5</v>
      </c>
      <c r="E102" s="13" t="n">
        <v>27.24</v>
      </c>
      <c r="F102" s="13" t="n">
        <v>-0.38</v>
      </c>
      <c r="G102" s="13" t="n">
        <v>20</v>
      </c>
      <c r="H102" s="13" t="n">
        <v>22</v>
      </c>
      <c r="I102" s="13" t="n">
        <v>7</v>
      </c>
      <c r="J102" s="13" t="n">
        <v>604.7</v>
      </c>
      <c r="K102" s="13" t="n">
        <v>-2</v>
      </c>
      <c r="L102" s="16" t="n">
        <v>1</v>
      </c>
    </row>
    <row r="103" ht="15" customHeight="1" s="11">
      <c r="A103" s="14" t="n">
        <v>102</v>
      </c>
      <c r="B103" s="14" t="inlineStr">
        <is>
          <t>COW030</t>
        </is>
      </c>
      <c r="C103" s="14" t="n">
        <v>4.8</v>
      </c>
      <c r="D103" s="14" t="n">
        <v>4</v>
      </c>
      <c r="E103" s="14" t="n">
        <v>24.87</v>
      </c>
      <c r="F103" s="14" t="n">
        <v>-0.26</v>
      </c>
      <c r="G103" s="14" t="n">
        <v>22</v>
      </c>
      <c r="H103" s="14" t="n">
        <v>9</v>
      </c>
      <c r="I103" s="14" t="n">
        <v>10</v>
      </c>
      <c r="J103" s="14" t="n">
        <v>431.9</v>
      </c>
      <c r="K103" s="14" t="n">
        <v>13</v>
      </c>
      <c r="L103" s="17" t="n">
        <v>0</v>
      </c>
    </row>
    <row r="104" ht="15" customHeight="1" s="11">
      <c r="A104" s="13" t="n">
        <v>103</v>
      </c>
      <c r="B104" s="13" t="inlineStr">
        <is>
          <t>COW032</t>
        </is>
      </c>
      <c r="C104" s="13" t="n">
        <v>6.7</v>
      </c>
      <c r="D104" s="13" t="n">
        <v>4</v>
      </c>
      <c r="E104" s="13" t="n">
        <v>18.33</v>
      </c>
      <c r="F104" s="13" t="n">
        <v>8.41</v>
      </c>
      <c r="G104" s="13" t="n">
        <v>23</v>
      </c>
      <c r="H104" s="13" t="n">
        <v>14</v>
      </c>
      <c r="I104" s="13" t="n">
        <v>7</v>
      </c>
      <c r="J104" s="13" t="n">
        <v>321.2</v>
      </c>
      <c r="K104" s="13" t="n">
        <v>9</v>
      </c>
      <c r="L104" s="17" t="n">
        <v>0</v>
      </c>
    </row>
    <row r="105" ht="15" customHeight="1" s="11">
      <c r="A105" s="14" t="n">
        <v>104</v>
      </c>
      <c r="B105" s="14" t="inlineStr">
        <is>
          <t>COW008</t>
        </is>
      </c>
      <c r="C105" s="14" t="n">
        <v>2.1</v>
      </c>
      <c r="D105" s="14" t="n">
        <v>4</v>
      </c>
      <c r="E105" s="14" t="n">
        <v>26.89</v>
      </c>
      <c r="F105" s="14" t="n">
        <v>-3.71</v>
      </c>
      <c r="G105" s="14" t="n">
        <v>18</v>
      </c>
      <c r="H105" s="14" t="n">
        <v>23</v>
      </c>
      <c r="I105" s="14" t="n">
        <v>7</v>
      </c>
      <c r="J105" s="14" t="n">
        <v>323</v>
      </c>
      <c r="K105" s="14" t="n">
        <v>-5</v>
      </c>
      <c r="L105" s="16" t="n">
        <v>1</v>
      </c>
    </row>
    <row r="106" ht="15" customHeight="1" s="11">
      <c r="A106" s="13" t="n">
        <v>105</v>
      </c>
      <c r="B106" s="13" t="inlineStr">
        <is>
          <t>COW048</t>
        </is>
      </c>
      <c r="C106" s="13" t="n">
        <v>7.6</v>
      </c>
      <c r="D106" s="13" t="n">
        <v>5</v>
      </c>
      <c r="E106" s="13" t="n">
        <v>22.3</v>
      </c>
      <c r="F106" s="13" t="n">
        <v>0.82</v>
      </c>
      <c r="G106" s="13" t="n">
        <v>24</v>
      </c>
      <c r="H106" s="13" t="n">
        <v>0</v>
      </c>
      <c r="I106" s="13" t="n">
        <v>6</v>
      </c>
      <c r="J106" s="13" t="n">
        <v>323</v>
      </c>
      <c r="K106" s="13" t="n">
        <v>24</v>
      </c>
      <c r="L106" s="17" t="n">
        <v>0</v>
      </c>
    </row>
    <row r="107" ht="15" customHeight="1" s="11">
      <c r="A107" s="14" t="n">
        <v>106</v>
      </c>
      <c r="B107" s="14" t="inlineStr">
        <is>
          <t>COW050</t>
        </is>
      </c>
      <c r="C107" s="14" t="n">
        <v>3.1</v>
      </c>
      <c r="D107" s="14" t="n">
        <v>2</v>
      </c>
      <c r="E107" s="14" t="n">
        <v>25.71</v>
      </c>
      <c r="F107" s="14" t="n">
        <v>-4.92</v>
      </c>
      <c r="G107" s="14" t="n">
        <v>20</v>
      </c>
      <c r="H107" s="14" t="n">
        <v>22</v>
      </c>
      <c r="I107" s="14" t="n">
        <v>6</v>
      </c>
      <c r="J107" s="14" t="n">
        <v>605.8</v>
      </c>
      <c r="K107" s="14" t="n">
        <v>-2</v>
      </c>
      <c r="L107" s="16" t="n">
        <v>1</v>
      </c>
    </row>
    <row r="108" ht="15" customHeight="1" s="11">
      <c r="A108" s="13" t="n">
        <v>107</v>
      </c>
      <c r="B108" s="13" t="inlineStr">
        <is>
          <t>COW012</t>
        </is>
      </c>
      <c r="C108" s="13" t="n">
        <v>3.2</v>
      </c>
      <c r="D108" s="13" t="n">
        <v>2</v>
      </c>
      <c r="E108" s="13" t="n">
        <v>20.2</v>
      </c>
      <c r="F108" s="13" t="n">
        <v>2.07</v>
      </c>
      <c r="G108" s="13" t="n">
        <v>19</v>
      </c>
      <c r="H108" s="13" t="n">
        <v>6</v>
      </c>
      <c r="I108" s="13" t="n">
        <v>10</v>
      </c>
      <c r="J108" s="13" t="n">
        <v>536.1</v>
      </c>
      <c r="K108" s="13" t="n">
        <v>13</v>
      </c>
      <c r="L108" s="17" t="n">
        <v>0</v>
      </c>
    </row>
    <row r="109" ht="15" customHeight="1" s="11">
      <c r="A109" s="14" t="n">
        <v>108</v>
      </c>
      <c r="B109" s="14" t="inlineStr">
        <is>
          <t>COW029</t>
        </is>
      </c>
      <c r="C109" s="14" t="n">
        <v>4.8</v>
      </c>
      <c r="D109" s="14" t="n">
        <v>4</v>
      </c>
      <c r="E109" s="14" t="n">
        <v>21.52</v>
      </c>
      <c r="F109" s="14" t="n">
        <v>-2.67</v>
      </c>
      <c r="G109" s="14" t="n">
        <v>20</v>
      </c>
      <c r="H109" s="14" t="n">
        <v>7</v>
      </c>
      <c r="I109" s="14" t="n">
        <v>8</v>
      </c>
      <c r="J109" s="14" t="n">
        <v>285.9</v>
      </c>
      <c r="K109" s="14" t="n">
        <v>13</v>
      </c>
      <c r="L109" s="17" t="n">
        <v>0</v>
      </c>
    </row>
    <row r="110" ht="15" customHeight="1" s="11">
      <c r="A110" s="13" t="n">
        <v>109</v>
      </c>
      <c r="B110" s="13" t="inlineStr">
        <is>
          <t>COW019</t>
        </is>
      </c>
      <c r="C110" s="13" t="n">
        <v>2.6</v>
      </c>
      <c r="D110" s="13" t="n">
        <v>5</v>
      </c>
      <c r="E110" s="13" t="n">
        <v>27.55</v>
      </c>
      <c r="F110" s="13" t="n">
        <v>6.44</v>
      </c>
      <c r="G110" s="13" t="n">
        <v>19</v>
      </c>
      <c r="H110" s="13" t="n">
        <v>25</v>
      </c>
      <c r="I110" s="13" t="n">
        <v>9</v>
      </c>
      <c r="J110" s="13" t="n">
        <v>590.8</v>
      </c>
      <c r="K110" s="13" t="n">
        <v>-6</v>
      </c>
      <c r="L110" s="16" t="n">
        <v>1</v>
      </c>
    </row>
    <row r="111" ht="15" customHeight="1" s="11">
      <c r="A111" s="14" t="n">
        <v>110</v>
      </c>
      <c r="B111" s="14" t="inlineStr">
        <is>
          <t>COW031</t>
        </is>
      </c>
      <c r="C111" s="14" t="n">
        <v>6.6</v>
      </c>
      <c r="D111" s="14" t="n">
        <v>3</v>
      </c>
      <c r="E111" s="14" t="n">
        <v>21.4</v>
      </c>
      <c r="F111" s="14" t="n">
        <v>4.15</v>
      </c>
      <c r="G111" s="14" t="n">
        <v>21</v>
      </c>
      <c r="H111" s="14" t="n">
        <v>10</v>
      </c>
      <c r="I111" s="14" t="n">
        <v>8</v>
      </c>
      <c r="J111" s="14" t="n">
        <v>547.7</v>
      </c>
      <c r="K111" s="14" t="n">
        <v>11</v>
      </c>
      <c r="L111" s="17" t="n">
        <v>0</v>
      </c>
    </row>
    <row r="112" ht="15" customHeight="1" s="11">
      <c r="A112" s="13" t="n">
        <v>111</v>
      </c>
      <c r="B112" s="13" t="inlineStr">
        <is>
          <t>COW002</t>
        </is>
      </c>
      <c r="C112" s="13" t="n">
        <v>5.9</v>
      </c>
      <c r="D112" s="13" t="n">
        <v>1</v>
      </c>
      <c r="E112" s="13" t="n">
        <v>22.7</v>
      </c>
      <c r="F112" s="13" t="n">
        <v>-4.9</v>
      </c>
      <c r="G112" s="13" t="n">
        <v>22</v>
      </c>
      <c r="H112" s="13" t="n">
        <v>2</v>
      </c>
      <c r="I112" s="13" t="n">
        <v>8</v>
      </c>
      <c r="J112" s="13" t="n">
        <v>316.7</v>
      </c>
      <c r="K112" s="13" t="n">
        <v>20</v>
      </c>
      <c r="L112" s="17" t="n">
        <v>0</v>
      </c>
    </row>
    <row r="113" ht="15" customHeight="1" s="11">
      <c r="A113" s="14" t="n">
        <v>112</v>
      </c>
      <c r="B113" s="14" t="inlineStr">
        <is>
          <t>COW038</t>
        </is>
      </c>
      <c r="C113" s="14" t="n">
        <v>7.7</v>
      </c>
      <c r="D113" s="14" t="n">
        <v>3</v>
      </c>
      <c r="E113" s="14" t="n">
        <v>24.9</v>
      </c>
      <c r="F113" s="14" t="n">
        <v>8.529999999999999</v>
      </c>
      <c r="G113" s="14" t="n">
        <v>18</v>
      </c>
      <c r="H113" s="14" t="n">
        <v>5</v>
      </c>
      <c r="I113" s="14" t="n">
        <v>8</v>
      </c>
      <c r="J113" s="14" t="n">
        <v>402</v>
      </c>
      <c r="K113" s="14" t="n">
        <v>13</v>
      </c>
      <c r="L113" s="17" t="n">
        <v>0</v>
      </c>
    </row>
    <row r="114" ht="15" customHeight="1" s="11">
      <c r="A114" s="13" t="n">
        <v>113</v>
      </c>
      <c r="B114" s="13" t="inlineStr">
        <is>
          <t>COW015</t>
        </is>
      </c>
      <c r="C114" s="13" t="n">
        <v>4</v>
      </c>
      <c r="D114" s="13" t="n">
        <v>3</v>
      </c>
      <c r="E114" s="13" t="n">
        <v>27.6</v>
      </c>
      <c r="F114" s="13" t="n">
        <v>8.35</v>
      </c>
      <c r="G114" s="13" t="n">
        <v>20</v>
      </c>
      <c r="H114" s="13" t="n">
        <v>12</v>
      </c>
      <c r="I114" s="13" t="n">
        <v>7</v>
      </c>
      <c r="J114" s="13" t="n">
        <v>485</v>
      </c>
      <c r="K114" s="13" t="n">
        <v>8</v>
      </c>
      <c r="L114" s="17" t="n">
        <v>0</v>
      </c>
    </row>
    <row r="115" ht="15" customHeight="1" s="11">
      <c r="A115" s="14" t="n">
        <v>114</v>
      </c>
      <c r="B115" s="14" t="inlineStr">
        <is>
          <t>COW008</t>
        </is>
      </c>
      <c r="C115" s="14" t="n">
        <v>6</v>
      </c>
      <c r="D115" s="14" t="n">
        <v>5</v>
      </c>
      <c r="E115" s="14" t="n">
        <v>18.79</v>
      </c>
      <c r="F115" s="14" t="n">
        <v>3.37</v>
      </c>
      <c r="G115" s="14" t="n">
        <v>18</v>
      </c>
      <c r="H115" s="14" t="n">
        <v>25</v>
      </c>
      <c r="I115" s="14" t="n">
        <v>6</v>
      </c>
      <c r="J115" s="14" t="n">
        <v>511.5</v>
      </c>
      <c r="K115" s="14" t="n">
        <v>-7</v>
      </c>
      <c r="L115" s="16" t="n">
        <v>1</v>
      </c>
    </row>
    <row r="116" ht="15" customHeight="1" s="11">
      <c r="A116" s="13" t="n">
        <v>115</v>
      </c>
      <c r="B116" s="13" t="inlineStr">
        <is>
          <t>COW036</t>
        </is>
      </c>
      <c r="C116" s="13" t="n">
        <v>4.1</v>
      </c>
      <c r="D116" s="13" t="n">
        <v>3</v>
      </c>
      <c r="E116" s="13" t="n">
        <v>27.77</v>
      </c>
      <c r="F116" s="13" t="n">
        <v>7.16</v>
      </c>
      <c r="G116" s="13" t="n">
        <v>18</v>
      </c>
      <c r="H116" s="13" t="n">
        <v>4</v>
      </c>
      <c r="I116" s="13" t="n">
        <v>10</v>
      </c>
      <c r="J116" s="13" t="n">
        <v>365.4</v>
      </c>
      <c r="K116" s="13" t="n">
        <v>14</v>
      </c>
      <c r="L116" s="17" t="n">
        <v>0</v>
      </c>
    </row>
    <row r="117" ht="15" customHeight="1" s="11">
      <c r="A117" s="14" t="n">
        <v>116</v>
      </c>
      <c r="B117" s="14" t="inlineStr">
        <is>
          <t>COW012</t>
        </is>
      </c>
      <c r="C117" s="14" t="n">
        <v>4.4</v>
      </c>
      <c r="D117" s="14" t="n">
        <v>1</v>
      </c>
      <c r="E117" s="14" t="n">
        <v>26.7</v>
      </c>
      <c r="F117" s="14" t="n">
        <v>-3.71</v>
      </c>
      <c r="G117" s="14" t="n">
        <v>21</v>
      </c>
      <c r="H117" s="14" t="n">
        <v>8</v>
      </c>
      <c r="I117" s="14" t="n">
        <v>9</v>
      </c>
      <c r="J117" s="14" t="n">
        <v>530</v>
      </c>
      <c r="K117" s="14" t="n">
        <v>13</v>
      </c>
      <c r="L117" s="17" t="n">
        <v>0</v>
      </c>
    </row>
    <row r="118" ht="15" customHeight="1" s="11">
      <c r="A118" s="13" t="n">
        <v>117</v>
      </c>
      <c r="B118" s="13" t="inlineStr">
        <is>
          <t>COW023</t>
        </is>
      </c>
      <c r="C118" s="13" t="n">
        <v>3</v>
      </c>
      <c r="D118" s="13" t="n">
        <v>5</v>
      </c>
      <c r="E118" s="13" t="n">
        <v>25.84</v>
      </c>
      <c r="F118" s="13" t="n">
        <v>3.4</v>
      </c>
      <c r="G118" s="13" t="n">
        <v>23</v>
      </c>
      <c r="H118" s="13" t="n">
        <v>1</v>
      </c>
      <c r="I118" s="13" t="n">
        <v>7</v>
      </c>
      <c r="J118" s="13" t="n">
        <v>291.2</v>
      </c>
      <c r="K118" s="13" t="n">
        <v>22</v>
      </c>
      <c r="L118" s="17" t="n">
        <v>0</v>
      </c>
    </row>
    <row r="119" ht="15" customHeight="1" s="11">
      <c r="A119" s="14" t="n">
        <v>118</v>
      </c>
      <c r="B119" s="14" t="inlineStr">
        <is>
          <t>COW016</t>
        </is>
      </c>
      <c r="C119" s="14" t="n">
        <v>4.8</v>
      </c>
      <c r="D119" s="14" t="n">
        <v>1</v>
      </c>
      <c r="E119" s="14" t="n">
        <v>19.37</v>
      </c>
      <c r="F119" s="14" t="n">
        <v>3.02</v>
      </c>
      <c r="G119" s="14" t="n">
        <v>22</v>
      </c>
      <c r="H119" s="14" t="n">
        <v>8</v>
      </c>
      <c r="I119" s="14" t="n">
        <v>7</v>
      </c>
      <c r="J119" s="14" t="n">
        <v>387.1</v>
      </c>
      <c r="K119" s="14" t="n">
        <v>14</v>
      </c>
      <c r="L119" s="17" t="n">
        <v>0</v>
      </c>
    </row>
    <row r="120" ht="15" customHeight="1" s="11">
      <c r="A120" s="13" t="n">
        <v>119</v>
      </c>
      <c r="B120" s="13" t="inlineStr">
        <is>
          <t>COW041</t>
        </is>
      </c>
      <c r="C120" s="13" t="n">
        <v>2.4</v>
      </c>
      <c r="D120" s="13" t="n">
        <v>3</v>
      </c>
      <c r="E120" s="13" t="n">
        <v>22.32</v>
      </c>
      <c r="F120" s="13" t="n">
        <v>-7.74</v>
      </c>
      <c r="G120" s="13" t="n">
        <v>22</v>
      </c>
      <c r="H120" s="13" t="n">
        <v>2</v>
      </c>
      <c r="I120" s="13" t="n">
        <v>10</v>
      </c>
      <c r="J120" s="13" t="n">
        <v>339.8</v>
      </c>
      <c r="K120" s="13" t="n">
        <v>20</v>
      </c>
      <c r="L120" s="17" t="n">
        <v>0</v>
      </c>
    </row>
    <row r="121" ht="15" customHeight="1" s="11">
      <c r="A121" s="14" t="n">
        <v>120</v>
      </c>
      <c r="B121" s="14" t="inlineStr">
        <is>
          <t>COW028</t>
        </is>
      </c>
      <c r="C121" s="14" t="n">
        <v>5.6</v>
      </c>
      <c r="D121" s="14" t="n">
        <v>2</v>
      </c>
      <c r="E121" s="14" t="n">
        <v>21.17</v>
      </c>
      <c r="F121" s="14" t="n">
        <v>-2.31</v>
      </c>
      <c r="G121" s="14" t="n">
        <v>19</v>
      </c>
      <c r="H121" s="14" t="n">
        <v>19</v>
      </c>
      <c r="I121" s="14" t="n">
        <v>7</v>
      </c>
      <c r="J121" s="14" t="n">
        <v>353</v>
      </c>
      <c r="K121" s="14" t="n">
        <v>0</v>
      </c>
      <c r="L121" s="16" t="n">
        <v>1</v>
      </c>
    </row>
    <row r="122" ht="15" customHeight="1" s="11">
      <c r="A122" s="13" t="n">
        <v>121</v>
      </c>
      <c r="B122" s="13" t="inlineStr">
        <is>
          <t>COW019</t>
        </is>
      </c>
      <c r="C122" s="13" t="n">
        <v>6.9</v>
      </c>
      <c r="D122" s="13" t="n">
        <v>4</v>
      </c>
      <c r="E122" s="13" t="n">
        <v>20.81</v>
      </c>
      <c r="F122" s="13" t="n">
        <v>9.26</v>
      </c>
      <c r="G122" s="13" t="n">
        <v>19</v>
      </c>
      <c r="H122" s="13" t="n">
        <v>14</v>
      </c>
      <c r="I122" s="13" t="n">
        <v>7</v>
      </c>
      <c r="J122" s="13" t="n">
        <v>582.1</v>
      </c>
      <c r="K122" s="13" t="n">
        <v>5</v>
      </c>
      <c r="L122" s="17" t="n">
        <v>0</v>
      </c>
    </row>
    <row r="123" ht="15" customHeight="1" s="11">
      <c r="A123" s="14" t="n">
        <v>122</v>
      </c>
      <c r="B123" s="14" t="inlineStr">
        <is>
          <t>COW046</t>
        </is>
      </c>
      <c r="C123" s="14" t="n">
        <v>5.1</v>
      </c>
      <c r="D123" s="14" t="n">
        <v>2</v>
      </c>
      <c r="E123" s="14" t="n">
        <v>26.75</v>
      </c>
      <c r="F123" s="14" t="n">
        <v>9.43</v>
      </c>
      <c r="G123" s="14" t="n">
        <v>24</v>
      </c>
      <c r="H123" s="14" t="n">
        <v>23</v>
      </c>
      <c r="I123" s="14" t="n">
        <v>7</v>
      </c>
      <c r="J123" s="14" t="n">
        <v>314.2</v>
      </c>
      <c r="K123" s="14" t="n">
        <v>1</v>
      </c>
      <c r="L123" s="16" t="n">
        <v>1</v>
      </c>
    </row>
    <row r="124" ht="15" customHeight="1" s="11">
      <c r="A124" s="13" t="n">
        <v>123</v>
      </c>
      <c r="B124" s="13" t="inlineStr">
        <is>
          <t>COW011</t>
        </is>
      </c>
      <c r="C124" s="13" t="n">
        <v>6.3</v>
      </c>
      <c r="D124" s="13" t="n">
        <v>2</v>
      </c>
      <c r="E124" s="13" t="n">
        <v>18.31</v>
      </c>
      <c r="F124" s="13" t="n">
        <v>-6.04</v>
      </c>
      <c r="G124" s="13" t="n">
        <v>24</v>
      </c>
      <c r="H124" s="13" t="n">
        <v>13</v>
      </c>
      <c r="I124" s="13" t="n">
        <v>6</v>
      </c>
      <c r="J124" s="13" t="n">
        <v>304</v>
      </c>
      <c r="K124" s="13" t="n">
        <v>11</v>
      </c>
      <c r="L124" s="17" t="n">
        <v>0</v>
      </c>
    </row>
    <row r="125" ht="15" customHeight="1" s="11">
      <c r="A125" s="14" t="n">
        <v>124</v>
      </c>
      <c r="B125" s="14" t="inlineStr">
        <is>
          <t>COW024</t>
        </is>
      </c>
      <c r="C125" s="14" t="n">
        <v>2.1</v>
      </c>
      <c r="D125" s="14" t="n">
        <v>1</v>
      </c>
      <c r="E125" s="14" t="n">
        <v>19.23</v>
      </c>
      <c r="F125" s="14" t="n">
        <v>-8.619999999999999</v>
      </c>
      <c r="G125" s="14" t="n">
        <v>18</v>
      </c>
      <c r="H125" s="14" t="n">
        <v>23</v>
      </c>
      <c r="I125" s="14" t="n">
        <v>8</v>
      </c>
      <c r="J125" s="14" t="n">
        <v>551</v>
      </c>
      <c r="K125" s="14" t="n">
        <v>-5</v>
      </c>
      <c r="L125" s="16" t="n">
        <v>1</v>
      </c>
    </row>
    <row r="126" ht="15" customHeight="1" s="11">
      <c r="A126" s="13" t="n">
        <v>125</v>
      </c>
      <c r="B126" s="13" t="inlineStr">
        <is>
          <t>COW030</t>
        </is>
      </c>
      <c r="C126" s="13" t="n">
        <v>6.7</v>
      </c>
      <c r="D126" s="13" t="n">
        <v>2</v>
      </c>
      <c r="E126" s="13" t="n">
        <v>22.45</v>
      </c>
      <c r="F126" s="13" t="n">
        <v>1.99</v>
      </c>
      <c r="G126" s="13" t="n">
        <v>21</v>
      </c>
      <c r="H126" s="13" t="n">
        <v>5</v>
      </c>
      <c r="I126" s="13" t="n">
        <v>9</v>
      </c>
      <c r="J126" s="13" t="n">
        <v>346.6</v>
      </c>
      <c r="K126" s="13" t="n">
        <v>16</v>
      </c>
      <c r="L126" s="17" t="n">
        <v>0</v>
      </c>
    </row>
    <row r="127" ht="15" customHeight="1" s="11">
      <c r="A127" s="14" t="n">
        <v>126</v>
      </c>
      <c r="B127" s="14" t="inlineStr">
        <is>
          <t>COW014</t>
        </is>
      </c>
      <c r="C127" s="14" t="n">
        <v>3.9</v>
      </c>
      <c r="D127" s="14" t="n">
        <v>1</v>
      </c>
      <c r="E127" s="14" t="n">
        <v>21.54</v>
      </c>
      <c r="F127" s="14" t="n">
        <v>3.78</v>
      </c>
      <c r="G127" s="14" t="n">
        <v>23</v>
      </c>
      <c r="H127" s="14" t="n">
        <v>9</v>
      </c>
      <c r="I127" s="14" t="n">
        <v>10</v>
      </c>
      <c r="J127" s="14" t="n">
        <v>294.5</v>
      </c>
      <c r="K127" s="14" t="n">
        <v>14</v>
      </c>
      <c r="L127" s="17" t="n">
        <v>0</v>
      </c>
    </row>
    <row r="128" ht="15" customHeight="1" s="11">
      <c r="A128" s="13" t="n">
        <v>127</v>
      </c>
      <c r="B128" s="13" t="inlineStr">
        <is>
          <t>COW018</t>
        </is>
      </c>
      <c r="C128" s="13" t="n">
        <v>6</v>
      </c>
      <c r="D128" s="13" t="n">
        <v>1</v>
      </c>
      <c r="E128" s="13" t="n">
        <v>23.15</v>
      </c>
      <c r="F128" s="13" t="n">
        <v>-3.68</v>
      </c>
      <c r="G128" s="13" t="n">
        <v>23</v>
      </c>
      <c r="H128" s="13" t="n">
        <v>7</v>
      </c>
      <c r="I128" s="13" t="n">
        <v>10</v>
      </c>
      <c r="J128" s="13" t="n">
        <v>438.8</v>
      </c>
      <c r="K128" s="13" t="n">
        <v>16</v>
      </c>
      <c r="L128" s="17" t="n">
        <v>0</v>
      </c>
    </row>
    <row r="129" ht="15" customHeight="1" s="11">
      <c r="A129" s="14" t="n">
        <v>128</v>
      </c>
      <c r="B129" s="14" t="inlineStr">
        <is>
          <t>COW012</t>
        </is>
      </c>
      <c r="C129" s="14" t="n">
        <v>7.2</v>
      </c>
      <c r="D129" s="14" t="n">
        <v>4</v>
      </c>
      <c r="E129" s="14" t="n">
        <v>25.45</v>
      </c>
      <c r="F129" s="14" t="n">
        <v>-7.52</v>
      </c>
      <c r="G129" s="14" t="n">
        <v>19</v>
      </c>
      <c r="H129" s="14" t="n">
        <v>15</v>
      </c>
      <c r="I129" s="14" t="n">
        <v>6</v>
      </c>
      <c r="J129" s="14" t="n">
        <v>549.3</v>
      </c>
      <c r="K129" s="14" t="n">
        <v>4</v>
      </c>
      <c r="L129" s="17" t="n">
        <v>0</v>
      </c>
    </row>
    <row r="130" ht="15" customHeight="1" s="11">
      <c r="A130" s="13" t="n">
        <v>129</v>
      </c>
      <c r="B130" s="13" t="inlineStr">
        <is>
          <t>COW014</t>
        </is>
      </c>
      <c r="C130" s="13" t="n">
        <v>3.2</v>
      </c>
      <c r="D130" s="13" t="n">
        <v>2</v>
      </c>
      <c r="E130" s="13" t="n">
        <v>24.26</v>
      </c>
      <c r="F130" s="13" t="n">
        <v>6.86</v>
      </c>
      <c r="G130" s="13" t="n">
        <v>22</v>
      </c>
      <c r="H130" s="13" t="n">
        <v>8</v>
      </c>
      <c r="I130" s="13" t="n">
        <v>6</v>
      </c>
      <c r="J130" s="13" t="n">
        <v>546.3</v>
      </c>
      <c r="K130" s="13" t="n">
        <v>14</v>
      </c>
      <c r="L130" s="17" t="n">
        <v>0</v>
      </c>
    </row>
    <row r="131" ht="15" customHeight="1" s="11">
      <c r="A131" s="14" t="n">
        <v>130</v>
      </c>
      <c r="B131" s="14" t="inlineStr">
        <is>
          <t>COW048</t>
        </is>
      </c>
      <c r="C131" s="14" t="n">
        <v>7</v>
      </c>
      <c r="D131" s="14" t="n">
        <v>5</v>
      </c>
      <c r="E131" s="14" t="n">
        <v>18.18</v>
      </c>
      <c r="F131" s="14" t="n">
        <v>2.34</v>
      </c>
      <c r="G131" s="14" t="n">
        <v>23</v>
      </c>
      <c r="H131" s="14" t="n">
        <v>19</v>
      </c>
      <c r="I131" s="14" t="n">
        <v>9</v>
      </c>
      <c r="J131" s="14" t="n">
        <v>490.6</v>
      </c>
      <c r="K131" s="14" t="n">
        <v>4</v>
      </c>
      <c r="L131" s="17" t="n">
        <v>0</v>
      </c>
    </row>
    <row r="132" ht="15" customHeight="1" s="11">
      <c r="A132" s="13" t="n">
        <v>131</v>
      </c>
      <c r="B132" s="13" t="inlineStr">
        <is>
          <t>COW049</t>
        </is>
      </c>
      <c r="C132" s="13" t="n">
        <v>5.5</v>
      </c>
      <c r="D132" s="13" t="n">
        <v>3</v>
      </c>
      <c r="E132" s="13" t="n">
        <v>23.19</v>
      </c>
      <c r="F132" s="13" t="n">
        <v>-7.4</v>
      </c>
      <c r="G132" s="13" t="n">
        <v>24</v>
      </c>
      <c r="H132" s="13" t="n">
        <v>23</v>
      </c>
      <c r="I132" s="13" t="n">
        <v>9</v>
      </c>
      <c r="J132" s="13" t="n">
        <v>462.7</v>
      </c>
      <c r="K132" s="13" t="n">
        <v>1</v>
      </c>
      <c r="L132" s="16" t="n">
        <v>1</v>
      </c>
    </row>
    <row r="133" ht="15" customHeight="1" s="11">
      <c r="A133" s="14" t="n">
        <v>132</v>
      </c>
      <c r="B133" s="14" t="inlineStr">
        <is>
          <t>COW042</t>
        </is>
      </c>
      <c r="C133" s="14" t="n">
        <v>4.9</v>
      </c>
      <c r="D133" s="14" t="n">
        <v>2</v>
      </c>
      <c r="E133" s="14" t="n">
        <v>25.93</v>
      </c>
      <c r="F133" s="14" t="n">
        <v>2.16</v>
      </c>
      <c r="G133" s="14" t="n">
        <v>18</v>
      </c>
      <c r="H133" s="14" t="n">
        <v>4</v>
      </c>
      <c r="I133" s="14" t="n">
        <v>6</v>
      </c>
      <c r="J133" s="14" t="n">
        <v>575.2</v>
      </c>
      <c r="K133" s="14" t="n">
        <v>14</v>
      </c>
      <c r="L133" s="17" t="n">
        <v>0</v>
      </c>
    </row>
    <row r="134" ht="15" customHeight="1" s="11">
      <c r="A134" s="13" t="n">
        <v>133</v>
      </c>
      <c r="B134" s="13" t="inlineStr">
        <is>
          <t>COW043</t>
        </is>
      </c>
      <c r="C134" s="13" t="n">
        <v>2.4</v>
      </c>
      <c r="D134" s="13" t="n">
        <v>5</v>
      </c>
      <c r="E134" s="13" t="n">
        <v>20.36</v>
      </c>
      <c r="F134" s="13" t="n">
        <v>7.49</v>
      </c>
      <c r="G134" s="13" t="n">
        <v>19</v>
      </c>
      <c r="H134" s="13" t="n">
        <v>16</v>
      </c>
      <c r="I134" s="13" t="n">
        <v>10</v>
      </c>
      <c r="J134" s="13" t="n">
        <v>422.5</v>
      </c>
      <c r="K134" s="13" t="n">
        <v>3</v>
      </c>
      <c r="L134" s="17" t="n">
        <v>0</v>
      </c>
    </row>
    <row r="135" ht="15" customHeight="1" s="11">
      <c r="A135" s="14" t="n">
        <v>134</v>
      </c>
      <c r="B135" s="14" t="inlineStr">
        <is>
          <t>COW013</t>
        </is>
      </c>
      <c r="C135" s="14" t="n">
        <v>3.7</v>
      </c>
      <c r="D135" s="14" t="n">
        <v>1</v>
      </c>
      <c r="E135" s="14" t="n">
        <v>20.82</v>
      </c>
      <c r="F135" s="14" t="n">
        <v>-6.28</v>
      </c>
      <c r="G135" s="14" t="n">
        <v>20</v>
      </c>
      <c r="H135" s="14" t="n">
        <v>19</v>
      </c>
      <c r="I135" s="14" t="n">
        <v>6</v>
      </c>
      <c r="J135" s="14" t="n">
        <v>304.5</v>
      </c>
      <c r="K135" s="14" t="n">
        <v>1</v>
      </c>
      <c r="L135" s="16" t="n">
        <v>1</v>
      </c>
    </row>
    <row r="136" ht="15" customHeight="1" s="11">
      <c r="A136" s="13" t="n">
        <v>135</v>
      </c>
      <c r="B136" s="13" t="inlineStr">
        <is>
          <t>COW030</t>
        </is>
      </c>
      <c r="C136" s="13" t="n">
        <v>6.5</v>
      </c>
      <c r="D136" s="13" t="n">
        <v>3</v>
      </c>
      <c r="E136" s="13" t="n">
        <v>21.61</v>
      </c>
      <c r="F136" s="13" t="n">
        <v>8.98</v>
      </c>
      <c r="G136" s="13" t="n">
        <v>23</v>
      </c>
      <c r="H136" s="13" t="n">
        <v>24</v>
      </c>
      <c r="I136" s="13" t="n">
        <v>9</v>
      </c>
      <c r="J136" s="13" t="n">
        <v>398.7</v>
      </c>
      <c r="K136" s="13" t="n">
        <v>-1</v>
      </c>
      <c r="L136" s="16" t="n">
        <v>1</v>
      </c>
    </row>
    <row r="137" ht="15" customHeight="1" s="11">
      <c r="A137" s="14" t="n">
        <v>136</v>
      </c>
      <c r="B137" s="14" t="inlineStr">
        <is>
          <t>COW033</t>
        </is>
      </c>
      <c r="C137" s="14" t="n">
        <v>7.7</v>
      </c>
      <c r="D137" s="14" t="n">
        <v>3</v>
      </c>
      <c r="E137" s="14" t="n">
        <v>21.73</v>
      </c>
      <c r="F137" s="14" t="n">
        <v>-5.15</v>
      </c>
      <c r="G137" s="14" t="n">
        <v>23</v>
      </c>
      <c r="H137" s="14" t="n">
        <v>8</v>
      </c>
      <c r="I137" s="14" t="n">
        <v>8</v>
      </c>
      <c r="J137" s="14" t="n">
        <v>355.5</v>
      </c>
      <c r="K137" s="14" t="n">
        <v>15</v>
      </c>
      <c r="L137" s="17" t="n">
        <v>0</v>
      </c>
    </row>
    <row r="138" ht="15" customHeight="1" s="11">
      <c r="A138" s="13" t="n">
        <v>137</v>
      </c>
      <c r="B138" s="13" t="inlineStr">
        <is>
          <t>COW012</t>
        </is>
      </c>
      <c r="C138" s="13" t="n">
        <v>5.6</v>
      </c>
      <c r="D138" s="13" t="n">
        <v>4</v>
      </c>
      <c r="E138" s="13" t="n">
        <v>24.98</v>
      </c>
      <c r="F138" s="13" t="n">
        <v>-7.5</v>
      </c>
      <c r="G138" s="13" t="n">
        <v>20</v>
      </c>
      <c r="H138" s="13" t="n">
        <v>20</v>
      </c>
      <c r="I138" s="13" t="n">
        <v>8</v>
      </c>
      <c r="J138" s="13" t="n">
        <v>436.2</v>
      </c>
      <c r="K138" s="13" t="n">
        <v>0</v>
      </c>
      <c r="L138" s="16" t="n">
        <v>1</v>
      </c>
    </row>
    <row r="139" ht="15" customHeight="1" s="11">
      <c r="A139" s="14" t="n">
        <v>138</v>
      </c>
      <c r="B139" s="14" t="inlineStr">
        <is>
          <t>COW001</t>
        </is>
      </c>
      <c r="C139" s="14" t="n">
        <v>3.3</v>
      </c>
      <c r="D139" s="14" t="n">
        <v>5</v>
      </c>
      <c r="E139" s="14" t="n">
        <v>21.04</v>
      </c>
      <c r="F139" s="14" t="n">
        <v>-9.42</v>
      </c>
      <c r="G139" s="14" t="n">
        <v>21</v>
      </c>
      <c r="H139" s="14" t="n">
        <v>8</v>
      </c>
      <c r="I139" s="14" t="n">
        <v>6</v>
      </c>
      <c r="J139" s="14" t="n">
        <v>569.1</v>
      </c>
      <c r="K139" s="14" t="n">
        <v>13</v>
      </c>
      <c r="L139" s="17" t="n">
        <v>0</v>
      </c>
    </row>
    <row r="140" ht="15" customHeight="1" s="11">
      <c r="A140" s="13" t="n">
        <v>139</v>
      </c>
      <c r="B140" s="13" t="inlineStr">
        <is>
          <t>COW049</t>
        </is>
      </c>
      <c r="C140" s="13" t="n">
        <v>6.6</v>
      </c>
      <c r="D140" s="13" t="n">
        <v>4</v>
      </c>
      <c r="E140" s="13" t="n">
        <v>25.53</v>
      </c>
      <c r="F140" s="13" t="n">
        <v>2.44</v>
      </c>
      <c r="G140" s="13" t="n">
        <v>20</v>
      </c>
      <c r="H140" s="13" t="n">
        <v>17</v>
      </c>
      <c r="I140" s="13" t="n">
        <v>6</v>
      </c>
      <c r="J140" s="13" t="n">
        <v>327.3</v>
      </c>
      <c r="K140" s="13" t="n">
        <v>3</v>
      </c>
      <c r="L140" s="17" t="n">
        <v>0</v>
      </c>
    </row>
    <row r="141" ht="15" customHeight="1" s="11">
      <c r="A141" s="14" t="n">
        <v>140</v>
      </c>
      <c r="B141" s="14" t="inlineStr">
        <is>
          <t>COW007</t>
        </is>
      </c>
      <c r="C141" s="14" t="n">
        <v>5.1</v>
      </c>
      <c r="D141" s="14" t="n">
        <v>5</v>
      </c>
      <c r="E141" s="14" t="n">
        <v>24.06</v>
      </c>
      <c r="F141" s="14" t="n">
        <v>0.74</v>
      </c>
      <c r="G141" s="14" t="n">
        <v>19</v>
      </c>
      <c r="H141" s="14" t="n">
        <v>4</v>
      </c>
      <c r="I141" s="14" t="n">
        <v>6</v>
      </c>
      <c r="J141" s="14" t="n">
        <v>550</v>
      </c>
      <c r="K141" s="14" t="n">
        <v>15</v>
      </c>
      <c r="L141" s="17" t="n">
        <v>0</v>
      </c>
    </row>
    <row r="142" ht="15" customHeight="1" s="11">
      <c r="A142" s="13" t="n">
        <v>141</v>
      </c>
      <c r="B142" s="13" t="inlineStr">
        <is>
          <t>COW048</t>
        </is>
      </c>
      <c r="C142" s="13" t="n">
        <v>4.9</v>
      </c>
      <c r="D142" s="13" t="n">
        <v>5</v>
      </c>
      <c r="E142" s="13" t="n">
        <v>26.8</v>
      </c>
      <c r="F142" s="13" t="n">
        <v>-3.9</v>
      </c>
      <c r="G142" s="13" t="n">
        <v>22</v>
      </c>
      <c r="H142" s="13" t="n">
        <v>12</v>
      </c>
      <c r="I142" s="13" t="n">
        <v>10</v>
      </c>
      <c r="J142" s="13" t="n">
        <v>578.3</v>
      </c>
      <c r="K142" s="13" t="n">
        <v>10</v>
      </c>
      <c r="L142" s="17" t="n">
        <v>0</v>
      </c>
    </row>
    <row r="143" ht="15" customHeight="1" s="11">
      <c r="A143" s="14" t="n">
        <v>142</v>
      </c>
      <c r="B143" s="14" t="inlineStr">
        <is>
          <t>COW023</t>
        </is>
      </c>
      <c r="C143" s="14" t="n">
        <v>4.9</v>
      </c>
      <c r="D143" s="14" t="n">
        <v>1</v>
      </c>
      <c r="E143" s="14" t="n">
        <v>24.12</v>
      </c>
      <c r="F143" s="14" t="n">
        <v>-0.9</v>
      </c>
      <c r="G143" s="14" t="n">
        <v>24</v>
      </c>
      <c r="H143" s="14" t="n">
        <v>18</v>
      </c>
      <c r="I143" s="14" t="n">
        <v>10</v>
      </c>
      <c r="J143" s="14" t="n">
        <v>405.4</v>
      </c>
      <c r="K143" s="14" t="n">
        <v>6</v>
      </c>
      <c r="L143" s="17" t="n">
        <v>0</v>
      </c>
    </row>
    <row r="144" ht="15" customHeight="1" s="11">
      <c r="A144" s="13" t="n">
        <v>143</v>
      </c>
      <c r="B144" s="13" t="inlineStr">
        <is>
          <t>COW037</t>
        </is>
      </c>
      <c r="C144" s="13" t="n">
        <v>3.9</v>
      </c>
      <c r="D144" s="13" t="n">
        <v>1</v>
      </c>
      <c r="E144" s="13" t="n">
        <v>24.43</v>
      </c>
      <c r="F144" s="13" t="n">
        <v>-7.61</v>
      </c>
      <c r="G144" s="13" t="n">
        <v>19</v>
      </c>
      <c r="H144" s="13" t="n">
        <v>23</v>
      </c>
      <c r="I144" s="13" t="n">
        <v>7</v>
      </c>
      <c r="J144" s="13" t="n">
        <v>520.1</v>
      </c>
      <c r="K144" s="13" t="n">
        <v>-4</v>
      </c>
      <c r="L144" s="16" t="n">
        <v>1</v>
      </c>
    </row>
    <row r="145" ht="15" customHeight="1" s="11">
      <c r="A145" s="14" t="n">
        <v>144</v>
      </c>
      <c r="B145" s="14" t="inlineStr">
        <is>
          <t>COW030</t>
        </is>
      </c>
      <c r="C145" s="14" t="n">
        <v>3.3</v>
      </c>
      <c r="D145" s="14" t="n">
        <v>2</v>
      </c>
      <c r="E145" s="14" t="n">
        <v>23.66</v>
      </c>
      <c r="F145" s="14" t="n">
        <v>5.79</v>
      </c>
      <c r="G145" s="14" t="n">
        <v>20</v>
      </c>
      <c r="H145" s="14" t="n">
        <v>6</v>
      </c>
      <c r="I145" s="14" t="n">
        <v>9</v>
      </c>
      <c r="J145" s="14" t="n">
        <v>558.4</v>
      </c>
      <c r="K145" s="14" t="n">
        <v>14</v>
      </c>
      <c r="L145" s="17" t="n">
        <v>0</v>
      </c>
    </row>
    <row r="146" ht="15" customHeight="1" s="11">
      <c r="A146" s="13" t="n">
        <v>145</v>
      </c>
      <c r="B146" s="13" t="inlineStr">
        <is>
          <t>COW045</t>
        </is>
      </c>
      <c r="C146" s="13" t="n">
        <v>7</v>
      </c>
      <c r="D146" s="13" t="n">
        <v>1</v>
      </c>
      <c r="E146" s="13" t="n">
        <v>19.76</v>
      </c>
      <c r="F146" s="13" t="n">
        <v>1.8</v>
      </c>
      <c r="G146" s="13" t="n">
        <v>18</v>
      </c>
      <c r="H146" s="13" t="n">
        <v>12</v>
      </c>
      <c r="I146" s="13" t="n">
        <v>7</v>
      </c>
      <c r="J146" s="13" t="n">
        <v>461.2</v>
      </c>
      <c r="K146" s="13" t="n">
        <v>6</v>
      </c>
      <c r="L146" s="17" t="n">
        <v>0</v>
      </c>
    </row>
    <row r="147" ht="15" customHeight="1" s="11">
      <c r="A147" s="14" t="n">
        <v>146</v>
      </c>
      <c r="B147" s="14" t="inlineStr">
        <is>
          <t>COW022</t>
        </is>
      </c>
      <c r="C147" s="14" t="n">
        <v>5.7</v>
      </c>
      <c r="D147" s="14" t="n">
        <v>2</v>
      </c>
      <c r="E147" s="14" t="n">
        <v>23.69</v>
      </c>
      <c r="F147" s="14" t="n">
        <v>7.84</v>
      </c>
      <c r="G147" s="14" t="n">
        <v>24</v>
      </c>
      <c r="H147" s="14" t="n">
        <v>3</v>
      </c>
      <c r="I147" s="14" t="n">
        <v>6</v>
      </c>
      <c r="J147" s="14" t="n">
        <v>582.6</v>
      </c>
      <c r="K147" s="14" t="n">
        <v>21</v>
      </c>
      <c r="L147" s="17" t="n">
        <v>0</v>
      </c>
    </row>
    <row r="148" ht="15" customHeight="1" s="11">
      <c r="A148" s="13" t="n">
        <v>147</v>
      </c>
      <c r="B148" s="13" t="inlineStr">
        <is>
          <t>COW019</t>
        </is>
      </c>
      <c r="C148" s="13" t="n">
        <v>6.7</v>
      </c>
      <c r="D148" s="13" t="n">
        <v>2</v>
      </c>
      <c r="E148" s="13" t="n">
        <v>20.32</v>
      </c>
      <c r="F148" s="13" t="n">
        <v>0.09</v>
      </c>
      <c r="G148" s="13" t="n">
        <v>18</v>
      </c>
      <c r="H148" s="13" t="n">
        <v>2</v>
      </c>
      <c r="I148" s="13" t="n">
        <v>9</v>
      </c>
      <c r="J148" s="13" t="n">
        <v>364</v>
      </c>
      <c r="K148" s="13" t="n">
        <v>16</v>
      </c>
      <c r="L148" s="17" t="n">
        <v>0</v>
      </c>
    </row>
    <row r="149" ht="15" customHeight="1" s="11">
      <c r="A149" s="14" t="n">
        <v>148</v>
      </c>
      <c r="B149" s="14" t="inlineStr">
        <is>
          <t>COW011</t>
        </is>
      </c>
      <c r="C149" s="14" t="n">
        <v>4.8</v>
      </c>
      <c r="D149" s="14" t="n">
        <v>5</v>
      </c>
      <c r="E149" s="14" t="n">
        <v>25.94</v>
      </c>
      <c r="F149" s="14" t="n">
        <v>-3.4</v>
      </c>
      <c r="G149" s="14" t="n">
        <v>21</v>
      </c>
      <c r="H149" s="14" t="n">
        <v>18</v>
      </c>
      <c r="I149" s="14" t="n">
        <v>10</v>
      </c>
      <c r="J149" s="14" t="n">
        <v>390.9</v>
      </c>
      <c r="K149" s="14" t="n">
        <v>3</v>
      </c>
      <c r="L149" s="17" t="n">
        <v>0</v>
      </c>
    </row>
    <row r="150" ht="15" customHeight="1" s="11">
      <c r="A150" s="13" t="n">
        <v>149</v>
      </c>
      <c r="B150" s="13" t="inlineStr">
        <is>
          <t>COW040</t>
        </is>
      </c>
      <c r="C150" s="13" t="n">
        <v>4.7</v>
      </c>
      <c r="D150" s="13" t="n">
        <v>2</v>
      </c>
      <c r="E150" s="13" t="n">
        <v>19.42</v>
      </c>
      <c r="F150" s="13" t="n">
        <v>-0.72</v>
      </c>
      <c r="G150" s="13" t="n">
        <v>20</v>
      </c>
      <c r="H150" s="13" t="n">
        <v>11</v>
      </c>
      <c r="I150" s="13" t="n">
        <v>9</v>
      </c>
      <c r="J150" s="13" t="n">
        <v>399.2</v>
      </c>
      <c r="K150" s="13" t="n">
        <v>9</v>
      </c>
      <c r="L150" s="17" t="n">
        <v>0</v>
      </c>
    </row>
    <row r="151" ht="15" customHeight="1" s="11">
      <c r="A151" s="14" t="n">
        <v>150</v>
      </c>
      <c r="B151" s="14" t="inlineStr">
        <is>
          <t>COW044</t>
        </is>
      </c>
      <c r="C151" s="14" t="n">
        <v>5.1</v>
      </c>
      <c r="D151" s="14" t="n">
        <v>2</v>
      </c>
      <c r="E151" s="14" t="n">
        <v>22.91</v>
      </c>
      <c r="F151" s="14" t="n">
        <v>3.56</v>
      </c>
      <c r="G151" s="14" t="n">
        <v>18</v>
      </c>
      <c r="H151" s="14" t="n">
        <v>14</v>
      </c>
      <c r="I151" s="14" t="n">
        <v>9</v>
      </c>
      <c r="J151" s="14" t="n">
        <v>460.7</v>
      </c>
      <c r="K151" s="14" t="n">
        <v>4</v>
      </c>
      <c r="L151" s="17" t="n">
        <v>0</v>
      </c>
    </row>
    <row r="152" ht="15" customHeight="1" s="11">
      <c r="A152" s="13" t="n">
        <v>151</v>
      </c>
      <c r="B152" s="13" t="inlineStr">
        <is>
          <t>COW005</t>
        </is>
      </c>
      <c r="C152" s="13" t="n">
        <v>3.3</v>
      </c>
      <c r="D152" s="13" t="n">
        <v>1</v>
      </c>
      <c r="E152" s="13" t="n">
        <v>22.42</v>
      </c>
      <c r="F152" s="13" t="n">
        <v>7.27</v>
      </c>
      <c r="G152" s="13" t="n">
        <v>21</v>
      </c>
      <c r="H152" s="13" t="n">
        <v>15</v>
      </c>
      <c r="I152" s="13" t="n">
        <v>6</v>
      </c>
      <c r="J152" s="13" t="n">
        <v>343.8</v>
      </c>
      <c r="K152" s="13" t="n">
        <v>6</v>
      </c>
      <c r="L152" s="17" t="n">
        <v>0</v>
      </c>
    </row>
    <row r="153" ht="15" customHeight="1" s="11">
      <c r="A153" s="14" t="n">
        <v>152</v>
      </c>
      <c r="B153" s="14" t="inlineStr">
        <is>
          <t>COW038</t>
        </is>
      </c>
      <c r="C153" s="14" t="n">
        <v>3.5</v>
      </c>
      <c r="D153" s="14" t="n">
        <v>4</v>
      </c>
      <c r="E153" s="14" t="n">
        <v>19.71</v>
      </c>
      <c r="F153" s="14" t="n">
        <v>2.97</v>
      </c>
      <c r="G153" s="14" t="n">
        <v>20</v>
      </c>
      <c r="H153" s="14" t="n">
        <v>12</v>
      </c>
      <c r="I153" s="14" t="n">
        <v>8</v>
      </c>
      <c r="J153" s="14" t="n">
        <v>516.9</v>
      </c>
      <c r="K153" s="14" t="n">
        <v>8</v>
      </c>
      <c r="L153" s="17" t="n">
        <v>0</v>
      </c>
    </row>
    <row r="154" ht="15" customHeight="1" s="11">
      <c r="A154" s="13" t="n">
        <v>153</v>
      </c>
      <c r="B154" s="13" t="inlineStr">
        <is>
          <t>COW021</t>
        </is>
      </c>
      <c r="C154" s="13" t="n">
        <v>6.6</v>
      </c>
      <c r="D154" s="13" t="n">
        <v>4</v>
      </c>
      <c r="E154" s="13" t="n">
        <v>18.32</v>
      </c>
      <c r="F154" s="13" t="n">
        <v>-6.04</v>
      </c>
      <c r="G154" s="13" t="n">
        <v>22</v>
      </c>
      <c r="H154" s="13" t="n">
        <v>12</v>
      </c>
      <c r="I154" s="13" t="n">
        <v>7</v>
      </c>
      <c r="J154" s="13" t="n">
        <v>283.4</v>
      </c>
      <c r="K154" s="13" t="n">
        <v>10</v>
      </c>
      <c r="L154" s="17" t="n">
        <v>0</v>
      </c>
    </row>
    <row r="155" ht="15" customHeight="1" s="11">
      <c r="A155" s="14" t="n">
        <v>154</v>
      </c>
      <c r="B155" s="14" t="inlineStr">
        <is>
          <t>COW026</t>
        </is>
      </c>
      <c r="C155" s="14" t="n">
        <v>5.2</v>
      </c>
      <c r="D155" s="14" t="n">
        <v>2</v>
      </c>
      <c r="E155" s="14" t="n">
        <v>20.7</v>
      </c>
      <c r="F155" s="14" t="n">
        <v>-7.56</v>
      </c>
      <c r="G155" s="14" t="n">
        <v>21</v>
      </c>
      <c r="H155" s="14" t="n">
        <v>9</v>
      </c>
      <c r="I155" s="14" t="n">
        <v>9</v>
      </c>
      <c r="J155" s="14" t="n">
        <v>405.6</v>
      </c>
      <c r="K155" s="14" t="n">
        <v>12</v>
      </c>
      <c r="L155" s="17" t="n">
        <v>0</v>
      </c>
    </row>
    <row r="156" ht="15" customHeight="1" s="11">
      <c r="A156" s="13" t="n">
        <v>155</v>
      </c>
      <c r="B156" s="13" t="inlineStr">
        <is>
          <t>COW048</t>
        </is>
      </c>
      <c r="C156" s="13" t="n">
        <v>7.5</v>
      </c>
      <c r="D156" s="13" t="n">
        <v>2</v>
      </c>
      <c r="E156" s="13" t="n">
        <v>27.33</v>
      </c>
      <c r="F156" s="13" t="n">
        <v>-9.44</v>
      </c>
      <c r="G156" s="13" t="n">
        <v>24</v>
      </c>
      <c r="H156" s="13" t="n">
        <v>18</v>
      </c>
      <c r="I156" s="13" t="n">
        <v>10</v>
      </c>
      <c r="J156" s="13" t="n">
        <v>295</v>
      </c>
      <c r="K156" s="13" t="n">
        <v>6</v>
      </c>
      <c r="L156" s="17" t="n">
        <v>0</v>
      </c>
    </row>
    <row r="157" ht="15" customHeight="1" s="11">
      <c r="A157" s="14" t="n">
        <v>156</v>
      </c>
      <c r="B157" s="14" t="inlineStr">
        <is>
          <t>COW019</t>
        </is>
      </c>
      <c r="C157" s="14" t="n">
        <v>3.9</v>
      </c>
      <c r="D157" s="14" t="n">
        <v>3</v>
      </c>
      <c r="E157" s="14" t="n">
        <v>22.63</v>
      </c>
      <c r="F157" s="14" t="n">
        <v>7.06</v>
      </c>
      <c r="G157" s="14" t="n">
        <v>23</v>
      </c>
      <c r="H157" s="14" t="n">
        <v>1</v>
      </c>
      <c r="I157" s="14" t="n">
        <v>9</v>
      </c>
      <c r="J157" s="14" t="n">
        <v>343.3</v>
      </c>
      <c r="K157" s="14" t="n">
        <v>22</v>
      </c>
      <c r="L157" s="17" t="n">
        <v>0</v>
      </c>
    </row>
    <row r="158" ht="15" customHeight="1" s="11">
      <c r="A158" s="13" t="n">
        <v>157</v>
      </c>
      <c r="B158" s="13" t="inlineStr">
        <is>
          <t>COW038</t>
        </is>
      </c>
      <c r="C158" s="13" t="n">
        <v>7.5</v>
      </c>
      <c r="D158" s="13" t="n">
        <v>4</v>
      </c>
      <c r="E158" s="13" t="n">
        <v>21.29</v>
      </c>
      <c r="F158" s="13" t="n">
        <v>-6.14</v>
      </c>
      <c r="G158" s="13" t="n">
        <v>20</v>
      </c>
      <c r="H158" s="13" t="n">
        <v>18</v>
      </c>
      <c r="I158" s="13" t="n">
        <v>9</v>
      </c>
      <c r="J158" s="13" t="n">
        <v>473.6</v>
      </c>
      <c r="K158" s="13" t="n">
        <v>2</v>
      </c>
      <c r="L158" s="16" t="n">
        <v>1</v>
      </c>
    </row>
    <row r="159" ht="15" customHeight="1" s="11">
      <c r="A159" s="14" t="n">
        <v>158</v>
      </c>
      <c r="B159" s="14" t="inlineStr">
        <is>
          <t>COW046</t>
        </is>
      </c>
      <c r="C159" s="14" t="n">
        <v>6.4</v>
      </c>
      <c r="D159" s="14" t="n">
        <v>1</v>
      </c>
      <c r="E159" s="14" t="n">
        <v>20.02</v>
      </c>
      <c r="F159" s="14" t="n">
        <v>7.41</v>
      </c>
      <c r="G159" s="14" t="n">
        <v>21</v>
      </c>
      <c r="H159" s="14" t="n">
        <v>16</v>
      </c>
      <c r="I159" s="14" t="n">
        <v>7</v>
      </c>
      <c r="J159" s="14" t="n">
        <v>353.7</v>
      </c>
      <c r="K159" s="14" t="n">
        <v>5</v>
      </c>
      <c r="L159" s="17" t="n">
        <v>0</v>
      </c>
    </row>
    <row r="160" ht="15" customHeight="1" s="11">
      <c r="A160" s="13" t="n">
        <v>159</v>
      </c>
      <c r="B160" s="13" t="inlineStr">
        <is>
          <t>COW040</t>
        </is>
      </c>
      <c r="C160" s="13" t="n">
        <v>6.7</v>
      </c>
      <c r="D160" s="13" t="n">
        <v>3</v>
      </c>
      <c r="E160" s="13" t="n">
        <v>19.17</v>
      </c>
      <c r="F160" s="13" t="n">
        <v>0</v>
      </c>
      <c r="G160" s="13" t="n">
        <v>21</v>
      </c>
      <c r="H160" s="13" t="n">
        <v>22</v>
      </c>
      <c r="I160" s="13" t="n">
        <v>10</v>
      </c>
      <c r="J160" s="13" t="n">
        <v>585.8</v>
      </c>
      <c r="K160" s="13" t="n">
        <v>-1</v>
      </c>
      <c r="L160" s="16" t="n">
        <v>1</v>
      </c>
    </row>
    <row r="161" ht="15" customHeight="1" s="11">
      <c r="A161" s="14" t="n">
        <v>160</v>
      </c>
      <c r="B161" s="14" t="inlineStr">
        <is>
          <t>COW047</t>
        </is>
      </c>
      <c r="C161" s="14" t="n">
        <v>7.8</v>
      </c>
      <c r="D161" s="14" t="n">
        <v>1</v>
      </c>
      <c r="E161" s="14" t="n">
        <v>25.51</v>
      </c>
      <c r="F161" s="14" t="n">
        <v>-6.91</v>
      </c>
      <c r="G161" s="14" t="n">
        <v>19</v>
      </c>
      <c r="H161" s="14" t="n">
        <v>7</v>
      </c>
      <c r="I161" s="14" t="n">
        <v>8</v>
      </c>
      <c r="J161" s="14" t="n">
        <v>584.9</v>
      </c>
      <c r="K161" s="14" t="n">
        <v>12</v>
      </c>
      <c r="L161" s="17" t="n">
        <v>0</v>
      </c>
    </row>
    <row r="162" ht="15" customHeight="1" s="11">
      <c r="A162" s="13" t="n">
        <v>161</v>
      </c>
      <c r="B162" s="13" t="inlineStr">
        <is>
          <t>COW037</t>
        </is>
      </c>
      <c r="C162" s="13" t="n">
        <v>2.8</v>
      </c>
      <c r="D162" s="13" t="n">
        <v>2</v>
      </c>
      <c r="E162" s="13" t="n">
        <v>18.21</v>
      </c>
      <c r="F162" s="13" t="n">
        <v>-4.42</v>
      </c>
      <c r="G162" s="13" t="n">
        <v>21</v>
      </c>
      <c r="H162" s="13" t="n">
        <v>25</v>
      </c>
      <c r="I162" s="13" t="n">
        <v>7</v>
      </c>
      <c r="J162" s="13" t="n">
        <v>410</v>
      </c>
      <c r="K162" s="13" t="n">
        <v>-4</v>
      </c>
      <c r="L162" s="16" t="n">
        <v>1</v>
      </c>
    </row>
    <row r="163" ht="15" customHeight="1" s="11">
      <c r="A163" s="14" t="n">
        <v>162</v>
      </c>
      <c r="B163" s="14" t="inlineStr">
        <is>
          <t>COW015</t>
        </is>
      </c>
      <c r="C163" s="14" t="n">
        <v>7.2</v>
      </c>
      <c r="D163" s="14" t="n">
        <v>3</v>
      </c>
      <c r="E163" s="14" t="n">
        <v>18.96</v>
      </c>
      <c r="F163" s="14" t="n">
        <v>-0.01</v>
      </c>
      <c r="G163" s="14" t="n">
        <v>23</v>
      </c>
      <c r="H163" s="14" t="n">
        <v>23</v>
      </c>
      <c r="I163" s="14" t="n">
        <v>6</v>
      </c>
      <c r="J163" s="14" t="n">
        <v>509.1</v>
      </c>
      <c r="K163" s="14" t="n">
        <v>0</v>
      </c>
      <c r="L163" s="16" t="n">
        <v>1</v>
      </c>
    </row>
    <row r="164" ht="15" customHeight="1" s="11">
      <c r="A164" s="13" t="n">
        <v>163</v>
      </c>
      <c r="B164" s="13" t="inlineStr">
        <is>
          <t>COW022</t>
        </is>
      </c>
      <c r="C164" s="13" t="n">
        <v>5.9</v>
      </c>
      <c r="D164" s="13" t="n">
        <v>2</v>
      </c>
      <c r="E164" s="13" t="n">
        <v>21.19</v>
      </c>
      <c r="F164" s="13" t="n">
        <v>-10</v>
      </c>
      <c r="G164" s="13" t="n">
        <v>23</v>
      </c>
      <c r="H164" s="13" t="n">
        <v>4</v>
      </c>
      <c r="I164" s="13" t="n">
        <v>9</v>
      </c>
      <c r="J164" s="13" t="n">
        <v>454.4</v>
      </c>
      <c r="K164" s="13" t="n">
        <v>19</v>
      </c>
      <c r="L164" s="17" t="n">
        <v>0</v>
      </c>
    </row>
    <row r="165" ht="15" customHeight="1" s="11">
      <c r="A165" s="14" t="n">
        <v>164</v>
      </c>
      <c r="B165" s="14" t="inlineStr">
        <is>
          <t>COW046</t>
        </is>
      </c>
      <c r="C165" s="14" t="n">
        <v>5.1</v>
      </c>
      <c r="D165" s="14" t="n">
        <v>4</v>
      </c>
      <c r="E165" s="14" t="n">
        <v>25.19</v>
      </c>
      <c r="F165" s="14" t="n">
        <v>6.89</v>
      </c>
      <c r="G165" s="14" t="n">
        <v>24</v>
      </c>
      <c r="H165" s="14" t="n">
        <v>7</v>
      </c>
      <c r="I165" s="14" t="n">
        <v>6</v>
      </c>
      <c r="J165" s="14" t="n">
        <v>397.3</v>
      </c>
      <c r="K165" s="14" t="n">
        <v>17</v>
      </c>
      <c r="L165" s="17" t="n">
        <v>0</v>
      </c>
    </row>
    <row r="166" ht="15" customHeight="1" s="11">
      <c r="A166" s="13" t="n">
        <v>165</v>
      </c>
      <c r="B166" s="13" t="inlineStr">
        <is>
          <t>COW045</t>
        </is>
      </c>
      <c r="C166" s="13" t="n">
        <v>3</v>
      </c>
      <c r="D166" s="13" t="n">
        <v>2</v>
      </c>
      <c r="E166" s="13" t="n">
        <v>25.62</v>
      </c>
      <c r="F166" s="13" t="n">
        <v>6.19</v>
      </c>
      <c r="G166" s="13" t="n">
        <v>22</v>
      </c>
      <c r="H166" s="13" t="n">
        <v>11</v>
      </c>
      <c r="I166" s="13" t="n">
        <v>9</v>
      </c>
      <c r="J166" s="13" t="n">
        <v>292.5</v>
      </c>
      <c r="K166" s="13" t="n">
        <v>11</v>
      </c>
      <c r="L166" s="17" t="n">
        <v>0</v>
      </c>
    </row>
    <row r="167" ht="15" customHeight="1" s="11">
      <c r="A167" s="14" t="n">
        <v>166</v>
      </c>
      <c r="B167" s="14" t="inlineStr">
        <is>
          <t>COW006</t>
        </is>
      </c>
      <c r="C167" s="14" t="n">
        <v>7.6</v>
      </c>
      <c r="D167" s="14" t="n">
        <v>3</v>
      </c>
      <c r="E167" s="14" t="n">
        <v>19.48</v>
      </c>
      <c r="F167" s="14" t="n">
        <v>-8.44</v>
      </c>
      <c r="G167" s="14" t="n">
        <v>23</v>
      </c>
      <c r="H167" s="14" t="n">
        <v>1</v>
      </c>
      <c r="I167" s="14" t="n">
        <v>8</v>
      </c>
      <c r="J167" s="14" t="n">
        <v>313</v>
      </c>
      <c r="K167" s="14" t="n">
        <v>22</v>
      </c>
      <c r="L167" s="17" t="n">
        <v>0</v>
      </c>
    </row>
    <row r="168" ht="15" customHeight="1" s="11">
      <c r="A168" s="13" t="n">
        <v>167</v>
      </c>
      <c r="B168" s="13" t="inlineStr">
        <is>
          <t>COW009</t>
        </is>
      </c>
      <c r="C168" s="13" t="n">
        <v>5.7</v>
      </c>
      <c r="D168" s="13" t="n">
        <v>4</v>
      </c>
      <c r="E168" s="13" t="n">
        <v>23.22</v>
      </c>
      <c r="F168" s="13" t="n">
        <v>-3.98</v>
      </c>
      <c r="G168" s="13" t="n">
        <v>18</v>
      </c>
      <c r="H168" s="13" t="n">
        <v>14</v>
      </c>
      <c r="I168" s="13" t="n">
        <v>7</v>
      </c>
      <c r="J168" s="13" t="n">
        <v>332.7</v>
      </c>
      <c r="K168" s="13" t="n">
        <v>4</v>
      </c>
      <c r="L168" s="17" t="n">
        <v>0</v>
      </c>
    </row>
    <row r="169" ht="15" customHeight="1" s="11">
      <c r="A169" s="14" t="n">
        <v>168</v>
      </c>
      <c r="B169" s="14" t="inlineStr">
        <is>
          <t>COW038</t>
        </is>
      </c>
      <c r="C169" s="14" t="n">
        <v>6.9</v>
      </c>
      <c r="D169" s="14" t="n">
        <v>3</v>
      </c>
      <c r="E169" s="14" t="n">
        <v>24.87</v>
      </c>
      <c r="F169" s="14" t="n">
        <v>-3.48</v>
      </c>
      <c r="G169" s="14" t="n">
        <v>22</v>
      </c>
      <c r="H169" s="14" t="n">
        <v>8</v>
      </c>
      <c r="I169" s="14" t="n">
        <v>9</v>
      </c>
      <c r="J169" s="14" t="n">
        <v>304.3</v>
      </c>
      <c r="K169" s="14" t="n">
        <v>14</v>
      </c>
      <c r="L169" s="17" t="n">
        <v>0</v>
      </c>
    </row>
    <row r="170" ht="15" customHeight="1" s="11">
      <c r="A170" s="13" t="n">
        <v>169</v>
      </c>
      <c r="B170" s="13" t="inlineStr">
        <is>
          <t>COW008</t>
        </is>
      </c>
      <c r="C170" s="13" t="n">
        <v>6.6</v>
      </c>
      <c r="D170" s="13" t="n">
        <v>2</v>
      </c>
      <c r="E170" s="13" t="n">
        <v>21.44</v>
      </c>
      <c r="F170" s="13" t="n">
        <v>4.22</v>
      </c>
      <c r="G170" s="13" t="n">
        <v>22</v>
      </c>
      <c r="H170" s="13" t="n">
        <v>8</v>
      </c>
      <c r="I170" s="13" t="n">
        <v>9</v>
      </c>
      <c r="J170" s="13" t="n">
        <v>573.3</v>
      </c>
      <c r="K170" s="13" t="n">
        <v>14</v>
      </c>
      <c r="L170" s="17" t="n">
        <v>0</v>
      </c>
    </row>
    <row r="171" ht="15" customHeight="1" s="11">
      <c r="A171" s="14" t="n">
        <v>170</v>
      </c>
      <c r="B171" s="14" t="inlineStr">
        <is>
          <t>COW014</t>
        </is>
      </c>
      <c r="C171" s="14" t="n">
        <v>5.6</v>
      </c>
      <c r="D171" s="14" t="n">
        <v>2</v>
      </c>
      <c r="E171" s="14" t="n">
        <v>24.06</v>
      </c>
      <c r="F171" s="14" t="n">
        <v>-8.65</v>
      </c>
      <c r="G171" s="14" t="n">
        <v>19</v>
      </c>
      <c r="H171" s="14" t="n">
        <v>11</v>
      </c>
      <c r="I171" s="14" t="n">
        <v>10</v>
      </c>
      <c r="J171" s="14" t="n">
        <v>432.2</v>
      </c>
      <c r="K171" s="14" t="n">
        <v>8</v>
      </c>
      <c r="L171" s="17" t="n">
        <v>0</v>
      </c>
    </row>
    <row r="172" ht="15" customHeight="1" s="11">
      <c r="A172" s="13" t="n">
        <v>171</v>
      </c>
      <c r="B172" s="13" t="inlineStr">
        <is>
          <t>COW029</t>
        </is>
      </c>
      <c r="C172" s="13" t="n">
        <v>7.3</v>
      </c>
      <c r="D172" s="13" t="n">
        <v>4</v>
      </c>
      <c r="E172" s="13" t="n">
        <v>25.03</v>
      </c>
      <c r="F172" s="13" t="n">
        <v>-6.48</v>
      </c>
      <c r="G172" s="13" t="n">
        <v>21</v>
      </c>
      <c r="H172" s="13" t="n">
        <v>19</v>
      </c>
      <c r="I172" s="13" t="n">
        <v>8</v>
      </c>
      <c r="J172" s="13" t="n">
        <v>384.9</v>
      </c>
      <c r="K172" s="13" t="n">
        <v>2</v>
      </c>
      <c r="L172" s="16" t="n">
        <v>1</v>
      </c>
    </row>
    <row r="173" ht="15" customHeight="1" s="11">
      <c r="A173" s="14" t="n">
        <v>172</v>
      </c>
      <c r="B173" s="14" t="inlineStr">
        <is>
          <t>COW047</t>
        </is>
      </c>
      <c r="C173" s="14" t="n">
        <v>7.2</v>
      </c>
      <c r="D173" s="14" t="n">
        <v>1</v>
      </c>
      <c r="E173" s="14" t="n">
        <v>27.51</v>
      </c>
      <c r="F173" s="14" t="n">
        <v>-9.050000000000001</v>
      </c>
      <c r="G173" s="14" t="n">
        <v>21</v>
      </c>
      <c r="H173" s="14" t="n">
        <v>8</v>
      </c>
      <c r="I173" s="14" t="n">
        <v>7</v>
      </c>
      <c r="J173" s="14" t="n">
        <v>382</v>
      </c>
      <c r="K173" s="14" t="n">
        <v>13</v>
      </c>
      <c r="L173" s="17" t="n">
        <v>0</v>
      </c>
    </row>
    <row r="174" ht="15" customHeight="1" s="11">
      <c r="A174" s="13" t="n">
        <v>173</v>
      </c>
      <c r="B174" s="13" t="inlineStr">
        <is>
          <t>COW013</t>
        </is>
      </c>
      <c r="C174" s="13" t="n">
        <v>2.5</v>
      </c>
      <c r="D174" s="13" t="n">
        <v>2</v>
      </c>
      <c r="E174" s="13" t="n">
        <v>23.81</v>
      </c>
      <c r="F174" s="13" t="n">
        <v>-8.59</v>
      </c>
      <c r="G174" s="13" t="n">
        <v>24</v>
      </c>
      <c r="H174" s="13" t="n">
        <v>18</v>
      </c>
      <c r="I174" s="13" t="n">
        <v>8</v>
      </c>
      <c r="J174" s="13" t="n">
        <v>476.3</v>
      </c>
      <c r="K174" s="13" t="n">
        <v>6</v>
      </c>
      <c r="L174" s="17" t="n">
        <v>0</v>
      </c>
    </row>
    <row r="175" ht="15" customHeight="1" s="11">
      <c r="A175" s="14" t="n">
        <v>174</v>
      </c>
      <c r="B175" s="14" t="inlineStr">
        <is>
          <t>COW028</t>
        </is>
      </c>
      <c r="C175" s="14" t="n">
        <v>3.1</v>
      </c>
      <c r="D175" s="14" t="n">
        <v>4</v>
      </c>
      <c r="E175" s="14" t="n">
        <v>27.53</v>
      </c>
      <c r="F175" s="14" t="n">
        <v>-5.81</v>
      </c>
      <c r="G175" s="14" t="n">
        <v>22</v>
      </c>
      <c r="H175" s="14" t="n">
        <v>1</v>
      </c>
      <c r="I175" s="14" t="n">
        <v>6</v>
      </c>
      <c r="J175" s="14" t="n">
        <v>390.3</v>
      </c>
      <c r="K175" s="14" t="n">
        <v>21</v>
      </c>
      <c r="L175" s="17" t="n">
        <v>0</v>
      </c>
    </row>
    <row r="176" ht="15" customHeight="1" s="11">
      <c r="A176" s="13" t="n">
        <v>175</v>
      </c>
      <c r="B176" s="13" t="inlineStr">
        <is>
          <t>COW043</t>
        </is>
      </c>
      <c r="C176" s="13" t="n">
        <v>4.7</v>
      </c>
      <c r="D176" s="13" t="n">
        <v>3</v>
      </c>
      <c r="E176" s="13" t="n">
        <v>19.93</v>
      </c>
      <c r="F176" s="13" t="n">
        <v>-5.53</v>
      </c>
      <c r="G176" s="13" t="n">
        <v>21</v>
      </c>
      <c r="H176" s="13" t="n">
        <v>7</v>
      </c>
      <c r="I176" s="13" t="n">
        <v>10</v>
      </c>
      <c r="J176" s="13" t="n">
        <v>373.1</v>
      </c>
      <c r="K176" s="13" t="n">
        <v>14</v>
      </c>
      <c r="L176" s="17" t="n">
        <v>0</v>
      </c>
    </row>
    <row r="177" ht="15" customHeight="1" s="11">
      <c r="A177" s="14" t="n">
        <v>176</v>
      </c>
      <c r="B177" s="14" t="inlineStr">
        <is>
          <t>COW039</t>
        </is>
      </c>
      <c r="C177" s="14" t="n">
        <v>3.4</v>
      </c>
      <c r="D177" s="14" t="n">
        <v>1</v>
      </c>
      <c r="E177" s="14" t="n">
        <v>21.37</v>
      </c>
      <c r="F177" s="14" t="n">
        <v>-8.92</v>
      </c>
      <c r="G177" s="14" t="n">
        <v>23</v>
      </c>
      <c r="H177" s="14" t="n">
        <v>2</v>
      </c>
      <c r="I177" s="14" t="n">
        <v>6</v>
      </c>
      <c r="J177" s="14" t="n">
        <v>487</v>
      </c>
      <c r="K177" s="14" t="n">
        <v>21</v>
      </c>
      <c r="L177" s="17" t="n">
        <v>0</v>
      </c>
    </row>
    <row r="178" ht="15" customHeight="1" s="11">
      <c r="A178" s="13" t="n">
        <v>177</v>
      </c>
      <c r="B178" s="13" t="inlineStr">
        <is>
          <t>COW038</t>
        </is>
      </c>
      <c r="C178" s="13" t="n">
        <v>2.3</v>
      </c>
      <c r="D178" s="13" t="n">
        <v>4</v>
      </c>
      <c r="E178" s="13" t="n">
        <v>19.82</v>
      </c>
      <c r="F178" s="13" t="n">
        <v>0.8100000000000001</v>
      </c>
      <c r="G178" s="13" t="n">
        <v>18</v>
      </c>
      <c r="H178" s="13" t="n">
        <v>19</v>
      </c>
      <c r="I178" s="13" t="n">
        <v>7</v>
      </c>
      <c r="J178" s="13" t="n">
        <v>398.7</v>
      </c>
      <c r="K178" s="13" t="n">
        <v>-1</v>
      </c>
      <c r="L178" s="16" t="n">
        <v>1</v>
      </c>
    </row>
    <row r="179" ht="15" customHeight="1" s="11">
      <c r="A179" s="14" t="n">
        <v>178</v>
      </c>
      <c r="B179" s="14" t="inlineStr">
        <is>
          <t>COW039</t>
        </is>
      </c>
      <c r="C179" s="14" t="n">
        <v>4.4</v>
      </c>
      <c r="D179" s="14" t="n">
        <v>3</v>
      </c>
      <c r="E179" s="14" t="n">
        <v>22.02</v>
      </c>
      <c r="F179" s="14" t="n">
        <v>-1.04</v>
      </c>
      <c r="G179" s="14" t="n">
        <v>21</v>
      </c>
      <c r="H179" s="14" t="n">
        <v>14</v>
      </c>
      <c r="I179" s="14" t="n">
        <v>8</v>
      </c>
      <c r="J179" s="14" t="n">
        <v>398.5</v>
      </c>
      <c r="K179" s="14" t="n">
        <v>7</v>
      </c>
      <c r="L179" s="17" t="n">
        <v>0</v>
      </c>
    </row>
    <row r="180" ht="15" customHeight="1" s="11">
      <c r="A180" s="13" t="n">
        <v>179</v>
      </c>
      <c r="B180" s="13" t="inlineStr">
        <is>
          <t>COW047</t>
        </is>
      </c>
      <c r="C180" s="13" t="n">
        <v>5.7</v>
      </c>
      <c r="D180" s="13" t="n">
        <v>2</v>
      </c>
      <c r="E180" s="13" t="n">
        <v>25.31</v>
      </c>
      <c r="F180" s="13" t="n">
        <v>3.97</v>
      </c>
      <c r="G180" s="13" t="n">
        <v>22</v>
      </c>
      <c r="H180" s="13" t="n">
        <v>4</v>
      </c>
      <c r="I180" s="13" t="n">
        <v>8</v>
      </c>
      <c r="J180" s="13" t="n">
        <v>353.3</v>
      </c>
      <c r="K180" s="13" t="n">
        <v>18</v>
      </c>
      <c r="L180" s="17" t="n">
        <v>0</v>
      </c>
    </row>
    <row r="181" ht="15" customHeight="1" s="11">
      <c r="A181" s="14" t="n">
        <v>180</v>
      </c>
      <c r="B181" s="14" t="inlineStr">
        <is>
          <t>COW020</t>
        </is>
      </c>
      <c r="C181" s="14" t="n">
        <v>7.6</v>
      </c>
      <c r="D181" s="14" t="n">
        <v>4</v>
      </c>
      <c r="E181" s="14" t="n">
        <v>26.68</v>
      </c>
      <c r="F181" s="14" t="n">
        <v>9.109999999999999</v>
      </c>
      <c r="G181" s="14" t="n">
        <v>21</v>
      </c>
      <c r="H181" s="14" t="n">
        <v>16</v>
      </c>
      <c r="I181" s="14" t="n">
        <v>8</v>
      </c>
      <c r="J181" s="14" t="n">
        <v>382.2</v>
      </c>
      <c r="K181" s="14" t="n">
        <v>5</v>
      </c>
      <c r="L181" s="17" t="n">
        <v>0</v>
      </c>
    </row>
    <row r="182" ht="15" customHeight="1" s="11">
      <c r="A182" s="13" t="n">
        <v>181</v>
      </c>
      <c r="B182" s="13" t="inlineStr">
        <is>
          <t>COW013</t>
        </is>
      </c>
      <c r="C182" s="13" t="n">
        <v>4.1</v>
      </c>
      <c r="D182" s="13" t="n">
        <v>3</v>
      </c>
      <c r="E182" s="13" t="n">
        <v>19.74</v>
      </c>
      <c r="F182" s="13" t="n">
        <v>-8.07</v>
      </c>
      <c r="G182" s="13" t="n">
        <v>18</v>
      </c>
      <c r="H182" s="13" t="n">
        <v>9</v>
      </c>
      <c r="I182" s="13" t="n">
        <v>9</v>
      </c>
      <c r="J182" s="13" t="n">
        <v>508.9</v>
      </c>
      <c r="K182" s="13" t="n">
        <v>9</v>
      </c>
      <c r="L182" s="17" t="n">
        <v>0</v>
      </c>
    </row>
    <row r="183" ht="15" customHeight="1" s="11">
      <c r="A183" s="14" t="n">
        <v>182</v>
      </c>
      <c r="B183" s="14" t="inlineStr">
        <is>
          <t>COW002</t>
        </is>
      </c>
      <c r="C183" s="14" t="n">
        <v>6.6</v>
      </c>
      <c r="D183" s="14" t="n">
        <v>1</v>
      </c>
      <c r="E183" s="14" t="n">
        <v>22.01</v>
      </c>
      <c r="F183" s="14" t="n">
        <v>-2.18</v>
      </c>
      <c r="G183" s="14" t="n">
        <v>21</v>
      </c>
      <c r="H183" s="14" t="n">
        <v>19</v>
      </c>
      <c r="I183" s="14" t="n">
        <v>9</v>
      </c>
      <c r="J183" s="14" t="n">
        <v>358.7</v>
      </c>
      <c r="K183" s="14" t="n">
        <v>2</v>
      </c>
      <c r="L183" s="16" t="n">
        <v>1</v>
      </c>
    </row>
    <row r="184" ht="15" customHeight="1" s="11">
      <c r="A184" s="13" t="n">
        <v>183</v>
      </c>
      <c r="B184" s="13" t="inlineStr">
        <is>
          <t>COW032</t>
        </is>
      </c>
      <c r="C184" s="13" t="n">
        <v>5.4</v>
      </c>
      <c r="D184" s="13" t="n">
        <v>5</v>
      </c>
      <c r="E184" s="13" t="n">
        <v>23.43</v>
      </c>
      <c r="F184" s="13" t="n">
        <v>6.76</v>
      </c>
      <c r="G184" s="13" t="n">
        <v>19</v>
      </c>
      <c r="H184" s="13" t="n">
        <v>1</v>
      </c>
      <c r="I184" s="13" t="n">
        <v>6</v>
      </c>
      <c r="J184" s="13" t="n">
        <v>299.9</v>
      </c>
      <c r="K184" s="13" t="n">
        <v>18</v>
      </c>
      <c r="L184" s="17" t="n">
        <v>0</v>
      </c>
    </row>
    <row r="185" ht="15" customHeight="1" s="11">
      <c r="A185" s="14" t="n">
        <v>184</v>
      </c>
      <c r="B185" s="14" t="inlineStr">
        <is>
          <t>COW008</t>
        </is>
      </c>
      <c r="C185" s="14" t="n">
        <v>5.1</v>
      </c>
      <c r="D185" s="14" t="n">
        <v>5</v>
      </c>
      <c r="E185" s="14" t="n">
        <v>21.07</v>
      </c>
      <c r="F185" s="14" t="n">
        <v>3.72</v>
      </c>
      <c r="G185" s="14" t="n">
        <v>23</v>
      </c>
      <c r="H185" s="14" t="n">
        <v>10</v>
      </c>
      <c r="I185" s="14" t="n">
        <v>10</v>
      </c>
      <c r="J185" s="14" t="n">
        <v>560.2</v>
      </c>
      <c r="K185" s="14" t="n">
        <v>13</v>
      </c>
      <c r="L185" s="17" t="n">
        <v>0</v>
      </c>
    </row>
    <row r="186" ht="15" customHeight="1" s="11">
      <c r="A186" s="13" t="n">
        <v>185</v>
      </c>
      <c r="B186" s="13" t="inlineStr">
        <is>
          <t>COW035</t>
        </is>
      </c>
      <c r="C186" s="13" t="n">
        <v>2.6</v>
      </c>
      <c r="D186" s="13" t="n">
        <v>4</v>
      </c>
      <c r="E186" s="13" t="n">
        <v>19.72</v>
      </c>
      <c r="F186" s="13" t="n">
        <v>7.79</v>
      </c>
      <c r="G186" s="13" t="n">
        <v>22</v>
      </c>
      <c r="H186" s="13" t="n">
        <v>6</v>
      </c>
      <c r="I186" s="13" t="n">
        <v>6</v>
      </c>
      <c r="J186" s="13" t="n">
        <v>329.5</v>
      </c>
      <c r="K186" s="13" t="n">
        <v>16</v>
      </c>
      <c r="L186" s="17" t="n">
        <v>0</v>
      </c>
    </row>
    <row r="187" ht="15" customHeight="1" s="11">
      <c r="A187" s="14" t="n">
        <v>186</v>
      </c>
      <c r="B187" s="14" t="inlineStr">
        <is>
          <t>COW049</t>
        </is>
      </c>
      <c r="C187" s="14" t="n">
        <v>7.2</v>
      </c>
      <c r="D187" s="14" t="n">
        <v>5</v>
      </c>
      <c r="E187" s="14" t="n">
        <v>20.16</v>
      </c>
      <c r="F187" s="14" t="n">
        <v>9.960000000000001</v>
      </c>
      <c r="G187" s="14" t="n">
        <v>19</v>
      </c>
      <c r="H187" s="14" t="n">
        <v>9</v>
      </c>
      <c r="I187" s="14" t="n">
        <v>7</v>
      </c>
      <c r="J187" s="14" t="n">
        <v>561.2</v>
      </c>
      <c r="K187" s="14" t="n">
        <v>10</v>
      </c>
      <c r="L187" s="17" t="n">
        <v>0</v>
      </c>
    </row>
    <row r="188" ht="15" customHeight="1" s="11">
      <c r="A188" s="13" t="n">
        <v>187</v>
      </c>
      <c r="B188" s="13" t="inlineStr">
        <is>
          <t>COW026</t>
        </is>
      </c>
      <c r="C188" s="13" t="n">
        <v>7.8</v>
      </c>
      <c r="D188" s="13" t="n">
        <v>3</v>
      </c>
      <c r="E188" s="13" t="n">
        <v>21.39</v>
      </c>
      <c r="F188" s="13" t="n">
        <v>-7.7</v>
      </c>
      <c r="G188" s="13" t="n">
        <v>19</v>
      </c>
      <c r="H188" s="13" t="n">
        <v>16</v>
      </c>
      <c r="I188" s="13" t="n">
        <v>8</v>
      </c>
      <c r="J188" s="13" t="n">
        <v>496.2</v>
      </c>
      <c r="K188" s="13" t="n">
        <v>3</v>
      </c>
      <c r="L188" s="17" t="n">
        <v>0</v>
      </c>
    </row>
    <row r="189" ht="15" customHeight="1" s="11">
      <c r="A189" s="14" t="n">
        <v>188</v>
      </c>
      <c r="B189" s="14" t="inlineStr">
        <is>
          <t>COW007</t>
        </is>
      </c>
      <c r="C189" s="14" t="n">
        <v>7.5</v>
      </c>
      <c r="D189" s="14" t="n">
        <v>2</v>
      </c>
      <c r="E189" s="14" t="n">
        <v>21.24</v>
      </c>
      <c r="F189" s="14" t="n">
        <v>-2.32</v>
      </c>
      <c r="G189" s="14" t="n">
        <v>22</v>
      </c>
      <c r="H189" s="14" t="n">
        <v>2</v>
      </c>
      <c r="I189" s="14" t="n">
        <v>10</v>
      </c>
      <c r="J189" s="14" t="n">
        <v>417.1</v>
      </c>
      <c r="K189" s="14" t="n">
        <v>20</v>
      </c>
      <c r="L189" s="17" t="n">
        <v>0</v>
      </c>
    </row>
    <row r="190" ht="15" customHeight="1" s="11">
      <c r="A190" s="13" t="n">
        <v>189</v>
      </c>
      <c r="B190" s="13" t="inlineStr">
        <is>
          <t>COW028</t>
        </is>
      </c>
      <c r="C190" s="13" t="n">
        <v>4</v>
      </c>
      <c r="D190" s="13" t="n">
        <v>1</v>
      </c>
      <c r="E190" s="13" t="n">
        <v>22.99</v>
      </c>
      <c r="F190" s="13" t="n">
        <v>1.17</v>
      </c>
      <c r="G190" s="13" t="n">
        <v>18</v>
      </c>
      <c r="H190" s="13" t="n">
        <v>11</v>
      </c>
      <c r="I190" s="13" t="n">
        <v>7</v>
      </c>
      <c r="J190" s="13" t="n">
        <v>342.8</v>
      </c>
      <c r="K190" s="13" t="n">
        <v>7</v>
      </c>
      <c r="L190" s="17" t="n">
        <v>0</v>
      </c>
    </row>
    <row r="191" ht="15" customHeight="1" s="11">
      <c r="A191" s="14" t="n">
        <v>190</v>
      </c>
      <c r="B191" s="14" t="inlineStr">
        <is>
          <t>COW028</t>
        </is>
      </c>
      <c r="C191" s="14" t="n">
        <v>4.8</v>
      </c>
      <c r="D191" s="14" t="n">
        <v>1</v>
      </c>
      <c r="E191" s="14" t="n">
        <v>21.99</v>
      </c>
      <c r="F191" s="14" t="n">
        <v>-0.39</v>
      </c>
      <c r="G191" s="14" t="n">
        <v>21</v>
      </c>
      <c r="H191" s="14" t="n">
        <v>10</v>
      </c>
      <c r="I191" s="14" t="n">
        <v>9</v>
      </c>
      <c r="J191" s="14" t="n">
        <v>487.2</v>
      </c>
      <c r="K191" s="14" t="n">
        <v>11</v>
      </c>
      <c r="L191" s="17" t="n">
        <v>0</v>
      </c>
    </row>
    <row r="192" ht="15" customHeight="1" s="11">
      <c r="A192" s="13" t="n">
        <v>191</v>
      </c>
      <c r="B192" s="13" t="inlineStr">
        <is>
          <t>COW019</t>
        </is>
      </c>
      <c r="C192" s="13" t="n">
        <v>3.1</v>
      </c>
      <c r="D192" s="13" t="n">
        <v>4</v>
      </c>
      <c r="E192" s="13" t="n">
        <v>20.61</v>
      </c>
      <c r="F192" s="13" t="n">
        <v>7.18</v>
      </c>
      <c r="G192" s="13" t="n">
        <v>22</v>
      </c>
      <c r="H192" s="13" t="n">
        <v>21</v>
      </c>
      <c r="I192" s="13" t="n">
        <v>7</v>
      </c>
      <c r="J192" s="13" t="n">
        <v>447.7</v>
      </c>
      <c r="K192" s="13" t="n">
        <v>1</v>
      </c>
      <c r="L192" s="16" t="n">
        <v>1</v>
      </c>
    </row>
    <row r="193" ht="15" customHeight="1" s="11">
      <c r="A193" s="14" t="n">
        <v>192</v>
      </c>
      <c r="B193" s="14" t="inlineStr">
        <is>
          <t>COW005</t>
        </is>
      </c>
      <c r="C193" s="14" t="n">
        <v>3</v>
      </c>
      <c r="D193" s="14" t="n">
        <v>4</v>
      </c>
      <c r="E193" s="14" t="n">
        <v>23.38</v>
      </c>
      <c r="F193" s="14" t="n">
        <v>-7.65</v>
      </c>
      <c r="G193" s="14" t="n">
        <v>22</v>
      </c>
      <c r="H193" s="14" t="n">
        <v>9</v>
      </c>
      <c r="I193" s="14" t="n">
        <v>6</v>
      </c>
      <c r="J193" s="14" t="n">
        <v>280</v>
      </c>
      <c r="K193" s="14" t="n">
        <v>13</v>
      </c>
      <c r="L193" s="17" t="n">
        <v>0</v>
      </c>
    </row>
    <row r="194" ht="15" customHeight="1" s="11">
      <c r="A194" s="13" t="n">
        <v>193</v>
      </c>
      <c r="B194" s="13" t="inlineStr">
        <is>
          <t>COW041</t>
        </is>
      </c>
      <c r="C194" s="13" t="n">
        <v>5.5</v>
      </c>
      <c r="D194" s="13" t="n">
        <v>1</v>
      </c>
      <c r="E194" s="13" t="n">
        <v>22.25</v>
      </c>
      <c r="F194" s="13" t="n">
        <v>6.54</v>
      </c>
      <c r="G194" s="13" t="n">
        <v>22</v>
      </c>
      <c r="H194" s="13" t="n">
        <v>10</v>
      </c>
      <c r="I194" s="13" t="n">
        <v>9</v>
      </c>
      <c r="J194" s="13" t="n">
        <v>322</v>
      </c>
      <c r="K194" s="13" t="n">
        <v>12</v>
      </c>
      <c r="L194" s="17" t="n">
        <v>0</v>
      </c>
    </row>
    <row r="195" ht="15" customHeight="1" s="11">
      <c r="A195" s="14" t="n">
        <v>194</v>
      </c>
      <c r="B195" s="14" t="inlineStr">
        <is>
          <t>COW001</t>
        </is>
      </c>
      <c r="C195" s="14" t="n">
        <v>2.9</v>
      </c>
      <c r="D195" s="14" t="n">
        <v>1</v>
      </c>
      <c r="E195" s="14" t="n">
        <v>22.29</v>
      </c>
      <c r="F195" s="14" t="n">
        <v>-5.74</v>
      </c>
      <c r="G195" s="14" t="n">
        <v>19</v>
      </c>
      <c r="H195" s="14" t="n">
        <v>21</v>
      </c>
      <c r="I195" s="14" t="n">
        <v>6</v>
      </c>
      <c r="J195" s="14" t="n">
        <v>547.9</v>
      </c>
      <c r="K195" s="14" t="n">
        <v>-2</v>
      </c>
      <c r="L195" s="16" t="n">
        <v>1</v>
      </c>
    </row>
    <row r="196" ht="15" customHeight="1" s="11">
      <c r="A196" s="13" t="n">
        <v>195</v>
      </c>
      <c r="B196" s="13" t="inlineStr">
        <is>
          <t>COW021</t>
        </is>
      </c>
      <c r="C196" s="13" t="n">
        <v>7.3</v>
      </c>
      <c r="D196" s="13" t="n">
        <v>1</v>
      </c>
      <c r="E196" s="13" t="n">
        <v>27.99</v>
      </c>
      <c r="F196" s="13" t="n">
        <v>-9.029999999999999</v>
      </c>
      <c r="G196" s="13" t="n">
        <v>19</v>
      </c>
      <c r="H196" s="13" t="n">
        <v>1</v>
      </c>
      <c r="I196" s="13" t="n">
        <v>9</v>
      </c>
      <c r="J196" s="13" t="n">
        <v>475.2</v>
      </c>
      <c r="K196" s="13" t="n">
        <v>18</v>
      </c>
      <c r="L196" s="17" t="n">
        <v>0</v>
      </c>
    </row>
    <row r="197" ht="15" customHeight="1" s="11">
      <c r="A197" s="14" t="n">
        <v>196</v>
      </c>
      <c r="B197" s="14" t="inlineStr">
        <is>
          <t>COW017</t>
        </is>
      </c>
      <c r="C197" s="14" t="n">
        <v>3.3</v>
      </c>
      <c r="D197" s="14" t="n">
        <v>2</v>
      </c>
      <c r="E197" s="14" t="n">
        <v>24.41</v>
      </c>
      <c r="F197" s="14" t="n">
        <v>3.24</v>
      </c>
      <c r="G197" s="14" t="n">
        <v>23</v>
      </c>
      <c r="H197" s="14" t="n">
        <v>8</v>
      </c>
      <c r="I197" s="14" t="n">
        <v>10</v>
      </c>
      <c r="J197" s="14" t="n">
        <v>321.1</v>
      </c>
      <c r="K197" s="14" t="n">
        <v>15</v>
      </c>
      <c r="L197" s="17" t="n">
        <v>0</v>
      </c>
    </row>
    <row r="198" ht="15" customHeight="1" s="11">
      <c r="A198" s="13" t="n">
        <v>197</v>
      </c>
      <c r="B198" s="13" t="inlineStr">
        <is>
          <t>COW001</t>
        </is>
      </c>
      <c r="C198" s="13" t="n">
        <v>6.3</v>
      </c>
      <c r="D198" s="13" t="n">
        <v>1</v>
      </c>
      <c r="E198" s="13" t="n">
        <v>21.36</v>
      </c>
      <c r="F198" s="13" t="n">
        <v>3.39</v>
      </c>
      <c r="G198" s="13" t="n">
        <v>20</v>
      </c>
      <c r="H198" s="13" t="n">
        <v>20</v>
      </c>
      <c r="I198" s="13" t="n">
        <v>10</v>
      </c>
      <c r="J198" s="13" t="n">
        <v>514.6</v>
      </c>
      <c r="K198" s="13" t="n">
        <v>0</v>
      </c>
      <c r="L198" s="16" t="n">
        <v>1</v>
      </c>
    </row>
    <row r="199" ht="15" customHeight="1" s="11">
      <c r="A199" s="14" t="n">
        <v>198</v>
      </c>
      <c r="B199" s="14" t="inlineStr">
        <is>
          <t>COW011</t>
        </is>
      </c>
      <c r="C199" s="14" t="n">
        <v>4.7</v>
      </c>
      <c r="D199" s="14" t="n">
        <v>5</v>
      </c>
      <c r="E199" s="14" t="n">
        <v>24.77</v>
      </c>
      <c r="F199" s="14" t="n">
        <v>-6.37</v>
      </c>
      <c r="G199" s="14" t="n">
        <v>18</v>
      </c>
      <c r="H199" s="14" t="n">
        <v>3</v>
      </c>
      <c r="I199" s="14" t="n">
        <v>6</v>
      </c>
      <c r="J199" s="14" t="n">
        <v>413.5</v>
      </c>
      <c r="K199" s="14" t="n">
        <v>15</v>
      </c>
      <c r="L199" s="17" t="n">
        <v>0</v>
      </c>
    </row>
    <row r="200" ht="15" customHeight="1" s="11">
      <c r="A200" s="13" t="n">
        <v>199</v>
      </c>
      <c r="B200" s="13" t="inlineStr">
        <is>
          <t>COW016</t>
        </is>
      </c>
      <c r="C200" s="13" t="n">
        <v>6.5</v>
      </c>
      <c r="D200" s="13" t="n">
        <v>4</v>
      </c>
      <c r="E200" s="13" t="n">
        <v>21.92</v>
      </c>
      <c r="F200" s="13" t="n">
        <v>9.69</v>
      </c>
      <c r="G200" s="13" t="n">
        <v>20</v>
      </c>
      <c r="H200" s="13" t="n">
        <v>10</v>
      </c>
      <c r="I200" s="13" t="n">
        <v>6</v>
      </c>
      <c r="J200" s="13" t="n">
        <v>337.4</v>
      </c>
      <c r="K200" s="13" t="n">
        <v>10</v>
      </c>
      <c r="L200" s="17" t="n">
        <v>0</v>
      </c>
    </row>
    <row r="201" ht="15" customHeight="1" s="11">
      <c r="A201" s="14" t="n">
        <v>200</v>
      </c>
      <c r="B201" s="14" t="inlineStr">
        <is>
          <t>COW034</t>
        </is>
      </c>
      <c r="C201" s="14" t="n">
        <v>5.4</v>
      </c>
      <c r="D201" s="14" t="n">
        <v>4</v>
      </c>
      <c r="E201" s="14" t="n">
        <v>25.81</v>
      </c>
      <c r="F201" s="14" t="n">
        <v>-8.859999999999999</v>
      </c>
      <c r="G201" s="14" t="n">
        <v>24</v>
      </c>
      <c r="H201" s="14" t="n">
        <v>19</v>
      </c>
      <c r="I201" s="14" t="n">
        <v>10</v>
      </c>
      <c r="J201" s="14" t="n">
        <v>517</v>
      </c>
      <c r="K201" s="14" t="n">
        <v>5</v>
      </c>
      <c r="L201" s="17" t="n">
        <v>0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G1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9" customWidth="1" style="10" min="1" max="1"/>
    <col width="28" customWidth="1" style="10" min="2" max="2"/>
    <col width="22" customWidth="1" style="10" min="3" max="3"/>
    <col width="38" customWidth="1" style="10" min="4" max="4"/>
    <col width="42" customWidth="1" style="10" min="5" max="5"/>
    <col width="17" customWidth="1" style="10" min="6" max="6"/>
    <col width="16" customWidth="1" style="10" min="7" max="7"/>
  </cols>
  <sheetData>
    <row r="1" ht="34.5" customHeight="1" s="11">
      <c r="A1" s="12" t="inlineStr">
        <is>
          <t>Step_No</t>
        </is>
      </c>
      <c r="B1" s="12" t="inlineStr">
        <is>
          <t>Preprocessing_Step</t>
        </is>
      </c>
      <c r="C1" s="12" t="inlineStr">
        <is>
          <t>Dataset</t>
        </is>
      </c>
      <c r="D1" s="12" t="inlineStr">
        <is>
          <t>Issue_Found</t>
        </is>
      </c>
      <c r="E1" s="12" t="inlineStr">
        <is>
          <t>Action_Taken</t>
        </is>
      </c>
      <c r="F1" s="12" t="inlineStr">
        <is>
          <t>Records_Affected</t>
        </is>
      </c>
      <c r="G1" s="12" t="inlineStr">
        <is>
          <t>Output_Status</t>
        </is>
      </c>
    </row>
    <row r="2" ht="15" customHeight="1" s="11">
      <c r="A2" s="14" t="n">
        <v>1</v>
      </c>
      <c r="B2" s="14" t="inlineStr">
        <is>
          <t>Remove Duplicate RFID Scans</t>
        </is>
      </c>
      <c r="C2" s="18" t="inlineStr">
        <is>
          <t>Feed_Intake</t>
        </is>
      </c>
      <c r="D2" s="18" t="inlineStr">
        <is>
          <t>Duplicate rows from same cow in &lt;1 min</t>
        </is>
      </c>
      <c r="E2" s="18" t="inlineStr">
        <is>
          <t>Removed duplicates keeping first record</t>
        </is>
      </c>
      <c r="F2" s="14" t="n">
        <v>12</v>
      </c>
      <c r="G2" s="19" t="inlineStr">
        <is>
          <t>Cleaned</t>
        </is>
      </c>
    </row>
    <row r="3" ht="15" customHeight="1" s="11">
      <c r="A3" s="13" t="n">
        <v>2</v>
      </c>
      <c r="B3" s="13" t="inlineStr">
        <is>
          <t>Handle Missing Values</t>
        </is>
      </c>
      <c r="C3" s="20" t="inlineStr">
        <is>
          <t>Feed_Intake</t>
        </is>
      </c>
      <c r="D3" s="20" t="inlineStr">
        <is>
          <t>3 rows with missing feed readings</t>
        </is>
      </c>
      <c r="E3" s="20" t="inlineStr">
        <is>
          <t>Replaced with cow's 7-day rolling mean</t>
        </is>
      </c>
      <c r="F3" s="13" t="n">
        <v>3</v>
      </c>
      <c r="G3" s="19" t="inlineStr">
        <is>
          <t>Imputed</t>
        </is>
      </c>
    </row>
    <row r="4" ht="15" customHeight="1" s="11">
      <c r="A4" s="14" t="n">
        <v>3</v>
      </c>
      <c r="B4" s="14" t="inlineStr">
        <is>
          <t>Outlier Detection – Feed</t>
        </is>
      </c>
      <c r="C4" s="18" t="inlineStr">
        <is>
          <t>Feed_Intake</t>
        </is>
      </c>
      <c r="D4" s="18" t="inlineStr">
        <is>
          <t>Values &gt;3 std dev from mean flagged</t>
        </is>
      </c>
      <c r="E4" s="18" t="inlineStr">
        <is>
          <t>Capped at upper/lower fence (IQR method)</t>
        </is>
      </c>
      <c r="F4" s="14" t="n">
        <v>7</v>
      </c>
      <c r="G4" s="19" t="inlineStr">
        <is>
          <t>Filtered</t>
        </is>
      </c>
    </row>
    <row r="5" ht="15" customHeight="1" s="11">
      <c r="A5" s="13" t="n">
        <v>4</v>
      </c>
      <c r="B5" s="13" t="inlineStr">
        <is>
          <t>Date Parsing &amp; Validation</t>
        </is>
      </c>
      <c r="C5" s="20" t="inlineStr">
        <is>
          <t>Reproductive_History</t>
        </is>
      </c>
      <c r="D5" s="20" t="inlineStr">
        <is>
          <t>2 malformed date strings</t>
        </is>
      </c>
      <c r="E5" s="20" t="inlineStr">
        <is>
          <t>Standardized to YYYY-MM-DD format</t>
        </is>
      </c>
      <c r="F5" s="13" t="n">
        <v>2</v>
      </c>
      <c r="G5" s="19" t="inlineStr">
        <is>
          <t>Fixed</t>
        </is>
      </c>
    </row>
    <row r="6" ht="15" customHeight="1" s="11">
      <c r="A6" s="14" t="n">
        <v>5</v>
      </c>
      <c r="B6" s="14" t="inlineStr">
        <is>
          <t>Compute Cycle Length</t>
        </is>
      </c>
      <c r="C6" s="18" t="inlineStr">
        <is>
          <t>Reproductive_History</t>
        </is>
      </c>
      <c r="D6" s="18" t="inlineStr">
        <is>
          <t>Derived feature from estrus dates</t>
        </is>
      </c>
      <c r="E6" s="18" t="inlineStr">
        <is>
          <t>Calculated days between consecutive estrus</t>
        </is>
      </c>
      <c r="F6" s="14" t="n">
        <v>90</v>
      </c>
      <c r="G6" s="19" t="inlineStr">
        <is>
          <t>Feature Added</t>
        </is>
      </c>
    </row>
    <row r="7" ht="15" customHeight="1" s="11">
      <c r="A7" s="13" t="n">
        <v>6</v>
      </c>
      <c r="B7" s="13" t="inlineStr">
        <is>
          <t>Days Since Last Estrus</t>
        </is>
      </c>
      <c r="C7" s="20" t="inlineStr">
        <is>
          <t>Reproductive_History</t>
        </is>
      </c>
      <c r="D7" s="20" t="inlineStr">
        <is>
          <t>Derived real-time feature</t>
        </is>
      </c>
      <c r="E7" s="20" t="inlineStr">
        <is>
          <t>Subtracted last estrus date from current date</t>
        </is>
      </c>
      <c r="F7" s="13" t="n">
        <v>90</v>
      </c>
      <c r="G7" s="19" t="inlineStr">
        <is>
          <t>Feature Added</t>
        </is>
      </c>
    </row>
    <row r="8" ht="15" customHeight="1" s="11">
      <c r="A8" s="14" t="n">
        <v>7</v>
      </c>
      <c r="B8" s="14" t="inlineStr">
        <is>
          <t>Health Score Encoding</t>
        </is>
      </c>
      <c r="C8" s="18" t="inlineStr">
        <is>
          <t>Cattle_Master</t>
        </is>
      </c>
      <c r="D8" s="18" t="inlineStr">
        <is>
          <t>Categorical health status</t>
        </is>
      </c>
      <c r="E8" s="18" t="inlineStr">
        <is>
          <t>Mapped: Healthy=10, Obs=7, Recovering=6, Pregnant=9</t>
        </is>
      </c>
      <c r="F8" s="14" t="n">
        <v>50</v>
      </c>
      <c r="G8" s="19" t="inlineStr">
        <is>
          <t>Encoded</t>
        </is>
      </c>
    </row>
    <row r="9" ht="15" customHeight="1" s="11">
      <c r="A9" s="13" t="n">
        <v>8</v>
      </c>
      <c r="B9" s="13" t="inlineStr">
        <is>
          <t>Feed Deviation %</t>
        </is>
      </c>
      <c r="C9" s="20" t="inlineStr">
        <is>
          <t>Feed_Intake</t>
        </is>
      </c>
      <c r="D9" s="20" t="inlineStr">
        <is>
          <t>Relative variation from baseline</t>
        </is>
      </c>
      <c r="E9" s="20">
        <f>(Daily - Baseline)/Baseline x 100</f>
        <v/>
      </c>
      <c r="F9" s="13" t="n">
        <v>600</v>
      </c>
      <c r="G9" s="19" t="inlineStr">
        <is>
          <t>Feature Added</t>
        </is>
      </c>
    </row>
    <row r="10" ht="15" customHeight="1" s="11">
      <c r="A10" s="14" t="n">
        <v>9</v>
      </c>
      <c r="B10" s="14" t="inlineStr">
        <is>
          <t>Train-Test Split</t>
        </is>
      </c>
      <c r="C10" s="18" t="inlineStr">
        <is>
          <t>ML_Training_Dataset</t>
        </is>
      </c>
      <c r="D10" s="18" t="inlineStr">
        <is>
          <t>Need 80/20 stratified split</t>
        </is>
      </c>
      <c r="E10" s="18" t="inlineStr">
        <is>
          <t>Stratified split on Label column</t>
        </is>
      </c>
      <c r="F10" s="14" t="n">
        <v>200</v>
      </c>
      <c r="G10" s="19" t="inlineStr">
        <is>
          <t>Split: 160/40</t>
        </is>
      </c>
    </row>
    <row r="11" ht="15" customHeight="1" s="11">
      <c r="A11" s="13" t="n">
        <v>10</v>
      </c>
      <c r="B11" s="13" t="inlineStr">
        <is>
          <t>Normalization</t>
        </is>
      </c>
      <c r="C11" s="20" t="inlineStr">
        <is>
          <t>ML_Training_Dataset</t>
        </is>
      </c>
      <c r="D11" s="20" t="inlineStr">
        <is>
          <t>Feature scales differ (age vs weight)</t>
        </is>
      </c>
      <c r="E11" s="20" t="inlineStr">
        <is>
          <t>Applied Min-Max scaling on numeric columns</t>
        </is>
      </c>
      <c r="F11" s="13" t="n">
        <v>200</v>
      </c>
      <c r="G11" s="19" t="inlineStr">
        <is>
          <t>Normalized</t>
        </is>
      </c>
    </row>
    <row r="12" ht="15" customHeight="1" s="11">
      <c r="A12" s="14" t="n">
        <v>11</v>
      </c>
      <c r="B12" s="14" t="inlineStr">
        <is>
          <t>Class Imbalance Check</t>
        </is>
      </c>
      <c r="C12" s="18" t="inlineStr">
        <is>
          <t>ML_Training_Dataset</t>
        </is>
      </c>
      <c r="D12" s="18" t="inlineStr">
        <is>
          <t>Label=1 minority (~15%)</t>
        </is>
      </c>
      <c r="E12" s="18" t="inlineStr">
        <is>
          <t>SMOTE applied for oversampling minority</t>
        </is>
      </c>
      <c r="F12" s="14" t="n">
        <v>200</v>
      </c>
      <c r="G12" s="19" t="inlineStr">
        <is>
          <t>Balanced</t>
        </is>
      </c>
    </row>
    <row r="13" ht="15" customHeight="1" s="11">
      <c r="A13" s="13" t="n">
        <v>12</v>
      </c>
      <c r="B13" s="13" t="inlineStr">
        <is>
          <t>Final Validation</t>
        </is>
      </c>
      <c r="C13" s="20" t="inlineStr">
        <is>
          <t>All Sheets</t>
        </is>
      </c>
      <c r="D13" s="20" t="inlineStr">
        <is>
          <t>Cross-check COW_ID across all sheets</t>
        </is>
      </c>
      <c r="E13" s="20" t="inlineStr">
        <is>
          <t>Ensured referential integrity across sheets</t>
        </is>
      </c>
      <c r="F13" s="13" t="n">
        <v>850</v>
      </c>
      <c r="G13" s="19" t="inlineStr">
        <is>
          <t>Validated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2026-05-18T16:31:55Z</dcterms:created>
  <dcterms:modified xmlns:dcterms="http://purl.org/dc/terms/" xmlns:xsi="http://www.w3.org/2001/XMLSchema-instance" xsi:type="dcterms:W3CDTF">2026-05-18T16:32:06Z</dcterms:modified>
  <cp:revision>0</cp:revision>
</cp:coreProperties>
</file>